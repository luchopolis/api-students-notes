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LA PARA MATERIA" sheetId="1" state="visible" r:id="rId3"/>
    <sheet name="Hoja1" sheetId="2" state="visible" r:id="rId4"/>
    <sheet name="plantilla para módulos" sheetId="3" state="visible" r:id="rId5"/>
  </sheets>
  <definedNames>
    <definedName function="false" hidden="false" localSheetId="0" name="_xlnm.Print_Area" vbProcedure="false">'PLANILLA PARA MATERIA'!$A$1:$AL$64</definedName>
  </definedName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<sst xmlns="http://schemas.openxmlformats.org/spreadsheetml/2006/main" count="203" uniqueCount="117">
  <si>
    <t xml:space="preserve">MINISTERIO DE EDUCACIÓN</t>
  </si>
  <si>
    <t xml:space="preserve">AÑO: 2026</t>
  </si>
  <si>
    <t xml:space="preserve">DIRECCION NACIONAL DE EVALUACION E INVESTIGACION</t>
  </si>
  <si>
    <t xml:space="preserve">DIRECCION  NACIONAL DE EDUCACION</t>
  </si>
  <si>
    <t xml:space="preserve">    INSTITUTO NACIONAL DE SANTIAGO DE MARIA (INSAM)</t>
  </si>
  <si>
    <t xml:space="preserve">                                                       CUADRO DE REGISTRO DE EVALUACION DE LOS  APRENDIZAJES   </t>
  </si>
  <si>
    <t xml:space="preserve">                  POR ASIGNATURA Y PERIODOS</t>
  </si>
  <si>
    <t xml:space="preserve">EDUCACION MEDIA: 1° T.V. EN DESARROLLO DE SOFTWARE </t>
  </si>
  <si>
    <t xml:space="preserve">SECCIÓN:</t>
  </si>
  <si>
    <t xml:space="preserve">" B "</t>
  </si>
  <si>
    <t xml:space="preserve">materia</t>
  </si>
  <si>
    <t xml:space="preserve">ESTUDIOS SOCIALES</t>
  </si>
  <si>
    <t xml:space="preserve">Profesor:</t>
  </si>
  <si>
    <t xml:space="preserve">LIDIA CONCEPCION GONZALEZ DE CABALLERO</t>
  </si>
  <si>
    <t xml:space="preserve">Grado</t>
  </si>
  <si>
    <t xml:space="preserve">GE</t>
  </si>
  <si>
    <t xml:space="preserve">Primer Periodo</t>
  </si>
  <si>
    <t xml:space="preserve">Segundo Período</t>
  </si>
  <si>
    <t xml:space="preserve">Tercer Período</t>
  </si>
  <si>
    <t xml:space="preserve"> Cuarto Período</t>
  </si>
  <si>
    <t xml:space="preserve">Pro-</t>
  </si>
  <si>
    <t xml:space="preserve">Nota</t>
  </si>
  <si>
    <t xml:space="preserve">Nº</t>
  </si>
  <si>
    <t xml:space="preserve">NIE</t>
  </si>
  <si>
    <t xml:space="preserve">NOMBRE DEL ALUMNO/A</t>
  </si>
  <si>
    <t xml:space="preserve">NE</t>
  </si>
  <si>
    <t xml:space="preserve">Actividades</t>
  </si>
  <si>
    <t xml:space="preserve">me-</t>
  </si>
  <si>
    <t xml:space="preserve">Recu-</t>
  </si>
  <si>
    <t xml:space="preserve">Final</t>
  </si>
  <si>
    <t xml:space="preserve">Observaciones</t>
  </si>
  <si>
    <t xml:space="preserve">RO</t>
  </si>
  <si>
    <t xml:space="preserve">dio</t>
  </si>
  <si>
    <t xml:space="preserve">pera-</t>
  </si>
  <si>
    <t xml:space="preserve">conso</t>
  </si>
  <si>
    <t xml:space="preserve">Inst.</t>
  </si>
  <si>
    <t xml:space="preserve">ción</t>
  </si>
  <si>
    <t xml:space="preserve">lidada</t>
  </si>
  <si>
    <t xml:space="preserve">F</t>
  </si>
  <si>
    <t xml:space="preserve">M</t>
  </si>
  <si>
    <t xml:space="preserve">Escala de Calificación</t>
  </si>
  <si>
    <t xml:space="preserve">9-10= Excelente</t>
  </si>
  <si>
    <t xml:space="preserve">7-  8= Muy Bueno</t>
  </si>
  <si>
    <t xml:space="preserve">5-  6= Bueno</t>
  </si>
  <si>
    <t xml:space="preserve">3-  4= Regular</t>
  </si>
  <si>
    <t xml:space="preserve">1-  2= Necesita Mejorar</t>
  </si>
  <si>
    <t xml:space="preserve">Descripcion</t>
  </si>
  <si>
    <t xml:space="preserve">P1</t>
  </si>
  <si>
    <t xml:space="preserve">P2</t>
  </si>
  <si>
    <t xml:space="preserve">P3</t>
  </si>
  <si>
    <t xml:space="preserve">P4</t>
  </si>
  <si>
    <t xml:space="preserve">PF</t>
  </si>
  <si>
    <t xml:space="preserve">Moda</t>
  </si>
  <si>
    <t xml:space="preserve">Mediana</t>
  </si>
  <si>
    <t xml:space="preserve">Promedio</t>
  </si>
  <si>
    <t xml:space="preserve">Maximo</t>
  </si>
  <si>
    <t xml:space="preserve">Minimo</t>
  </si>
  <si>
    <t xml:space="preserve">Aprobado</t>
  </si>
  <si>
    <t xml:space="preserve">Reprobado</t>
  </si>
  <si>
    <t xml:space="preserve">#</t>
  </si>
  <si>
    <t xml:space="preserve">ASIG</t>
  </si>
  <si>
    <t xml:space="preserve">eval</t>
  </si>
  <si>
    <t xml:space="preserve">nie</t>
  </si>
  <si>
    <t xml:space="preserve">nota</t>
  </si>
  <si>
    <t xml:space="preserve">nota2</t>
  </si>
  <si>
    <t xml:space="preserve">nota3</t>
  </si>
  <si>
    <t xml:space="preserve">nota4</t>
  </si>
  <si>
    <t xml:space="preserve">INSTITUTO NACIONAL DE SANTIAGO DE MARÍA</t>
  </si>
  <si>
    <t xml:space="preserve">CUADRO DE EVALUACIÓN POR MÓDULO</t>
  </si>
  <si>
    <t xml:space="preserve">MUNICIPIO: SANTIAGO DE MARÍA</t>
  </si>
  <si>
    <t xml:space="preserve">DEPARTAMENTO: USULUTÁN</t>
  </si>
  <si>
    <t xml:space="preserve">AÑO:</t>
  </si>
  <si>
    <t xml:space="preserve">BACHILLERATO TECNICO:</t>
  </si>
  <si>
    <t xml:space="preserve">"__"</t>
  </si>
  <si>
    <t xml:space="preserve">NOMBRE DEL MÓDULO:</t>
  </si>
  <si>
    <t xml:space="preserve">____________________________________________________________________________________________________________</t>
  </si>
  <si>
    <t xml:space="preserve">NOMBRE DEL DOCENTE:</t>
  </si>
  <si>
    <t xml:space="preserve">AÑO DEL BACHILLERATO:</t>
  </si>
  <si>
    <t xml:space="preserve">N°</t>
  </si>
  <si>
    <t xml:space="preserve">GENERO</t>
  </si>
  <si>
    <t xml:space="preserve">PREPARACIÓN</t>
  </si>
  <si>
    <t xml:space="preserve">EJECUCIÓN</t>
  </si>
  <si>
    <t xml:space="preserve">EVALUACIÓN</t>
  </si>
  <si>
    <t xml:space="preserve">PROMEDIO</t>
  </si>
  <si>
    <t xml:space="preserve">PROMEDIO FINAL</t>
  </si>
  <si>
    <t xml:space="preserve">AUTOEVALUACIÓN</t>
  </si>
  <si>
    <t xml:space="preserve">HETEROEVALUACIÓN</t>
  </si>
  <si>
    <t xml:space="preserve">ORDINARIO</t>
  </si>
  <si>
    <t xml:space="preserve">RECUPERACIÓN</t>
  </si>
  <si>
    <t xml:space="preserve">AMAYA CASTRO, JIMENA GRISBEL</t>
  </si>
  <si>
    <t xml:space="preserve">ARAUJO ROJAS, RICARDO ALEXANDER</t>
  </si>
  <si>
    <t xml:space="preserve">AYALA DÍAZ, WALTER EMMANUEL</t>
  </si>
  <si>
    <t xml:space="preserve">BATRES ROMERO, VALERIA NICOLLE</t>
  </si>
  <si>
    <t xml:space="preserve">BONILLA REYES, RUTH NOHEMY</t>
  </si>
  <si>
    <t xml:space="preserve">CAÑAS PÉREZ, LESLY VALERIA</t>
  </si>
  <si>
    <t xml:space="preserve">CHICAS FLORES, DANIEL ALEJANDRO</t>
  </si>
  <si>
    <t xml:space="preserve">FLORES TURCIOS, CÉSAR ALEXANDER</t>
  </si>
  <si>
    <t xml:space="preserve">FUENTES FUENTES, DIEGO SEBASTIÁN</t>
  </si>
  <si>
    <t xml:space="preserve">FUNES RAMÍREZ, DAMARIS RAQUEL</t>
  </si>
  <si>
    <t xml:space="preserve">GARCÍA HERNÁNDEZ, DANIEL ALEXANDER</t>
  </si>
  <si>
    <t xml:space="preserve">GRANILLO FLORES, JEFFERSON ALEJANDRO</t>
  </si>
  <si>
    <t xml:space="preserve">GUEVARA PEREIRA, HELEN ELIZABETH</t>
  </si>
  <si>
    <t xml:space="preserve">GUZMÁN PÉREZ, ALISON MICHELLE</t>
  </si>
  <si>
    <t xml:space="preserve">HERNÁNDEZ GÓMEZ, CRISTOFER JOSUÉ</t>
  </si>
  <si>
    <t xml:space="preserve">MÁRQUEZ MÉNDEZ, VERÓNICA ABIGAÍL</t>
  </si>
  <si>
    <t xml:space="preserve">MARTÍNEZ DOMÍNGUEZ, JAQUELINE MARIANA</t>
  </si>
  <si>
    <t xml:space="preserve">MARTÍNEZ SÁNCHEZ, CÉSAR ALEXANDER</t>
  </si>
  <si>
    <t xml:space="preserve">MARTÍNEZ VENTURA, JOSÉ ALEJANDRO</t>
  </si>
  <si>
    <t xml:space="preserve">MEDRANO CRUZ, ÁNGEL JEFFERSON</t>
  </si>
  <si>
    <t xml:space="preserve">MEDRANO RIVERA, GÉNESIS GUADALUPE</t>
  </si>
  <si>
    <t xml:space="preserve">MEJÍA ALAYA, VERÓNICA ESMERALDA</t>
  </si>
  <si>
    <t xml:space="preserve">PAREDES GARCÍA, ROSEMARY EDUVIGES</t>
  </si>
  <si>
    <t xml:space="preserve">PERDOMO RAMÍREZ, GERSON EMANUEL</t>
  </si>
  <si>
    <t xml:space="preserve">RAMÍREZ GUEVARA, GABRIEL ANTONIO</t>
  </si>
  <si>
    <t xml:space="preserve">RODAS CASTRO, SALVADOR ALFONSO</t>
  </si>
  <si>
    <t xml:space="preserve">TURCIOS AMAYA, LUNA BELÉN</t>
  </si>
  <si>
    <t xml:space="preserve">ZELAYA BELTRÁN, JORGE ISMAEL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</si>
</sst>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"/>
    <numFmt numFmtId="166" formatCode="0.00"/>
    <numFmt numFmtId="167" formatCode="0"/>
    <numFmt numFmtId="168" formatCode="0%"/>
  </numFmts>
  <fonts count="51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8"/>
      <color rgb="FF000000"/>
      <name val="Arial"/>
      <family val="2"/>
    </font>
    <font>
      <sz val="10"/>
      <name val="Arial"/>
      <family val="2"/>
    </font>
    <font>
      <b val="true"/>
      <sz val="8"/>
      <name val="Arial"/>
      <family val="2"/>
    </font>
    <font>
      <sz val="8"/>
      <name val="Arial"/>
      <family val="2"/>
    </font>
    <font>
      <b val="true"/>
      <sz val="14"/>
      <name val="Arial"/>
      <family val="2"/>
    </font>
    <font>
      <sz val="14"/>
      <name val="Arial"/>
      <family val="2"/>
    </font>
    <font>
      <i val="true"/>
      <sz val="11"/>
      <color rgb="FFFF0000"/>
      <name val="Arial"/>
      <family val="2"/>
    </font>
    <font>
      <i val="true"/>
      <sz val="11"/>
      <name val="Arial"/>
      <family val="2"/>
    </font>
    <font>
      <sz val="11"/>
      <name val="Arial"/>
      <family val="2"/>
    </font>
    <font>
      <sz val="9"/>
      <color rgb="FFFFFFFF"/>
      <name val="Arial"/>
      <family val="2"/>
    </font>
    <font>
      <sz val="11"/>
      <color rgb="FFFFFFFF"/>
      <name val="Arial"/>
      <family val="2"/>
    </font>
    <font>
      <sz val="10"/>
      <color rgb="FFFFFFFF"/>
      <name val="Arial"/>
      <family val="2"/>
    </font>
    <font>
      <sz val="9"/>
      <name val="Arial"/>
      <family val="2"/>
    </font>
    <font>
      <sz val="12"/>
      <name val="Arial"/>
      <family val="2"/>
    </font>
    <font>
      <sz val="12"/>
      <color rgb="FF0000FF"/>
      <name val="Arial"/>
      <family val="2"/>
    </font>
    <font>
      <b val="true"/>
      <sz val="10"/>
      <name val="Arial"/>
      <family val="2"/>
    </font>
    <font>
      <b val="true"/>
      <sz val="8"/>
      <color rgb="FF333399"/>
      <name val="Arial"/>
      <family val="2"/>
    </font>
    <font>
      <b val="true"/>
      <sz val="8"/>
      <color rgb="FFFFFFFF"/>
      <name val="Arial"/>
      <family val="2"/>
    </font>
    <font>
      <b val="true"/>
      <sz val="9"/>
      <color rgb="FF0066CC"/>
      <name val="Arial"/>
      <family val="2"/>
    </font>
    <font>
      <b val="true"/>
      <sz val="8"/>
      <color rgb="FF003366"/>
      <name val="Arial"/>
      <family val="2"/>
    </font>
    <font>
      <b val="true"/>
      <sz val="6"/>
      <name val="Arial"/>
      <family val="2"/>
    </font>
    <font>
      <b val="true"/>
      <sz val="5"/>
      <name val="Arial"/>
      <family val="2"/>
    </font>
    <font>
      <sz val="7"/>
      <name val="Arial"/>
      <family val="2"/>
    </font>
    <font>
      <sz val="10"/>
      <color rgb="FFFFFFFF"/>
      <name val="Times New Roman"/>
      <family val="1"/>
    </font>
    <font>
      <sz val="8"/>
      <color rgb="FF000000"/>
      <name val="Tahoma"/>
      <family val="2"/>
    </font>
    <font>
      <sz val="10"/>
      <name val="Times New Roman"/>
      <family val="1"/>
    </font>
    <font>
      <sz val="6"/>
      <color rgb="FF0000FF"/>
      <name val="Arial"/>
      <family val="2"/>
    </font>
    <font>
      <sz val="6"/>
      <name val="Arial"/>
      <family val="2"/>
    </font>
    <font>
      <sz val="8"/>
      <color rgb="FF0000FF"/>
      <name val="Arial"/>
      <family val="2"/>
    </font>
    <font>
      <sz val="9"/>
      <color rgb="FF0000FF"/>
      <name val="Arial"/>
      <family val="2"/>
    </font>
    <font>
      <sz val="10"/>
      <color rgb="FF000000"/>
      <name val="Tahoma"/>
      <family val="2"/>
    </font>
    <font>
      <b val="true"/>
      <sz val="14"/>
      <color rgb="FF000000"/>
      <name val="Calibri"/>
      <family val="2"/>
    </font>
    <font>
      <sz val="14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u val="single"/>
      <sz val="10"/>
      <color rgb="FF000000"/>
      <name val="Calibri"/>
      <family val="2"/>
    </font>
    <font>
      <u val="single"/>
      <sz val="10"/>
      <color rgb="FF000000"/>
      <name val="Calibri"/>
      <family val="2"/>
    </font>
    <font>
      <b val="true"/>
      <sz val="11"/>
      <color rgb="FF000000"/>
      <name val="Calibri"/>
      <family val="2"/>
    </font>
    <font>
      <b val="true"/>
      <sz val="8"/>
      <color rgb="FF000000"/>
      <name val="Calibri"/>
      <family val="2"/>
    </font>
    <font>
      <b val="true"/>
      <sz val="7"/>
      <color rgb="FF000000"/>
      <name val="Calibri"/>
      <family val="2"/>
    </font>
    <font>
      <sz val="9"/>
      <color rgb="FF000000"/>
      <name val="Tahoma"/>
      <family val="2"/>
    </font>
    <font>
      <sz val="7"/>
      <color rgb="FF000000"/>
      <name val="Tahoma"/>
      <family val="2"/>
    </font>
    <font>
      <sz val="7"/>
      <color rgb="FF000000"/>
      <name val="Calibri"/>
      <family val="2"/>
    </font>
    <font>
      <b val="true"/>
      <sz val="8"/>
      <name val="Calibri"/>
      <family val="2"/>
    </font>
    <font>
      <b val="true"/>
      <sz val="8"/>
      <color rgb="FFFFFFFF"/>
      <name val="Calibri"/>
      <family val="2"/>
    </font>
    <font>
      <sz val="8"/>
      <name val="Calibri"/>
      <family val="2"/>
    </font>
    <font>
      <sz val="8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  <fill>
      <patternFill patternType="solid">
        <fgColor rgb="FFFFFFFF"/>
        <bgColor rgb="FFFFFFCC"/>
      </patternFill>
    </fill>
    <fill>
      <patternFill patternType="solid">
        <fgColor rgb="FFC0C0C0"/>
        <bgColor rgb="FFCCCCFF"/>
      </patternFill>
    </fill>
    <fill>
      <patternFill patternType="solid">
        <fgColor rgb="FF969696"/>
        <bgColor rgb="FF808080"/>
      </patternFill>
    </fill>
    <fill>
      <patternFill patternType="solid">
        <fgColor rgb="FF0066CC"/>
        <bgColor rgb="FF008080"/>
      </patternFill>
    </fill>
  </fills>
  <borders count="77">
    <border diagonalUp="false" diagonalDown="false">
      <left/>
      <right/>
      <top/>
      <bottom/>
      <diagonal/>
    </border>
    <border diagonalUp="false" diagonalDown="false">
      <left style="double"/>
      <right style="double"/>
      <top style="double"/>
      <bottom/>
      <diagonal/>
    </border>
    <border diagonalUp="false" diagonalDown="false">
      <left/>
      <right/>
      <top style="double"/>
      <bottom style="medium"/>
      <diagonal/>
    </border>
    <border diagonalUp="false" diagonalDown="false">
      <left/>
      <right style="double"/>
      <top style="double"/>
      <bottom style="medium"/>
      <diagonal/>
    </border>
    <border diagonalUp="false" diagonalDown="false">
      <left style="double"/>
      <right style="thin"/>
      <top style="double"/>
      <bottom style="medium"/>
      <diagonal/>
    </border>
    <border diagonalUp="false" diagonalDown="false">
      <left style="double"/>
      <right/>
      <top style="double"/>
      <bottom style="medium"/>
      <diagonal/>
    </border>
    <border diagonalUp="false" diagonalDown="false">
      <left/>
      <right/>
      <top style="double"/>
      <bottom/>
      <diagonal/>
    </border>
    <border diagonalUp="false" diagonalDown="false">
      <left style="double"/>
      <right/>
      <top style="double"/>
      <bottom/>
      <diagonal/>
    </border>
    <border diagonalUp="false" diagonalDown="false">
      <left style="double"/>
      <right style="double"/>
      <top/>
      <bottom/>
      <diagonal/>
    </border>
    <border diagonalUp="false" diagonalDown="false">
      <left/>
      <right/>
      <top style="medium"/>
      <bottom style="thin"/>
      <diagonal/>
    </border>
    <border diagonalUp="false" diagonalDown="false">
      <left/>
      <right style="double"/>
      <top style="medium"/>
      <bottom style="thin"/>
      <diagonal/>
    </border>
    <border diagonalUp="false" diagonalDown="false">
      <left/>
      <right style="double"/>
      <top style="medium"/>
      <bottom/>
      <diagonal/>
    </border>
    <border diagonalUp="false" diagonalDown="false">
      <left style="double"/>
      <right style="thin"/>
      <top style="medium"/>
      <bottom/>
      <diagonal/>
    </border>
    <border diagonalUp="false" diagonalDown="false">
      <left/>
      <right style="double"/>
      <top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double"/>
      <top style="thin"/>
      <bottom/>
      <diagonal/>
    </border>
    <border diagonalUp="false" diagonalDown="false">
      <left style="double"/>
      <right style="thin"/>
      <top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double"/>
      <top style="thin"/>
      <bottom/>
      <diagonal/>
    </border>
    <border diagonalUp="false" diagonalDown="false">
      <left style="double"/>
      <right style="double"/>
      <top/>
      <bottom style="double"/>
      <diagonal/>
    </border>
    <border diagonalUp="false" diagonalDown="false">
      <left/>
      <right style="thin"/>
      <top/>
      <bottom style="double"/>
      <diagonal/>
    </border>
    <border diagonalUp="false" diagonalDown="false">
      <left style="thin"/>
      <right style="thin"/>
      <top/>
      <bottom style="double"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double"/>
      <top/>
      <bottom/>
      <diagonal/>
    </border>
    <border diagonalUp="false" diagonalDown="false">
      <left/>
      <right style="double"/>
      <top/>
      <bottom style="double"/>
      <diagonal/>
    </border>
    <border diagonalUp="false" diagonalDown="false">
      <left/>
      <right style="thin"/>
      <top/>
      <bottom/>
      <diagonal/>
    </border>
    <border diagonalUp="false" diagonalDown="false">
      <left/>
      <right/>
      <top/>
      <bottom style="double"/>
      <diagonal/>
    </border>
    <border diagonalUp="false" diagonalDown="false">
      <left style="double"/>
      <right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ck"/>
      <top style="thin"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double"/>
      <right style="thin"/>
      <top style="double"/>
      <bottom style="thin"/>
      <diagonal/>
    </border>
    <border diagonalUp="false" diagonalDown="false">
      <left style="thin"/>
      <right style="thin"/>
      <top style="double"/>
      <bottom style="thin"/>
      <diagonal/>
    </border>
    <border diagonalUp="false" diagonalDown="false">
      <left style="thin"/>
      <right style="double"/>
      <top style="double"/>
      <bottom style="thin"/>
      <diagonal/>
    </border>
    <border diagonalUp="false" diagonalDown="false">
      <left/>
      <right style="double"/>
      <top style="double"/>
      <bottom style="thin"/>
      <diagonal/>
    </border>
    <border diagonalUp="false" diagonalDown="false">
      <left style="double"/>
      <right style="double"/>
      <top style="double"/>
      <bottom style="thin"/>
      <diagonal/>
    </border>
    <border diagonalUp="false" diagonalDown="false">
      <left style="double"/>
      <right style="thin"/>
      <top style="thin"/>
      <bottom style="thin"/>
      <diagonal/>
    </border>
    <border diagonalUp="false" diagonalDown="false">
      <left style="thin"/>
      <right style="double"/>
      <top style="thin"/>
      <bottom style="thin"/>
      <diagonal/>
    </border>
    <border diagonalUp="false" diagonalDown="false">
      <left style="double"/>
      <right style="double"/>
      <top style="thin"/>
      <bottom style="thin"/>
      <diagonal/>
    </border>
    <border diagonalUp="false" diagonalDown="false">
      <left style="thick"/>
      <right style="thin"/>
      <top style="thin"/>
      <bottom style="thin"/>
      <diagonal/>
    </border>
    <border diagonalUp="false" diagonalDown="false">
      <left/>
      <right style="double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 style="medium"/>
      <top/>
      <bottom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ck"/>
      <right style="thick"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 style="double"/>
      <right style="double"/>
      <top style="thin"/>
      <bottom/>
      <diagonal/>
    </border>
    <border diagonalUp="false" diagonalDown="false">
      <left style="double"/>
      <right/>
      <top style="thin"/>
      <bottom style="double"/>
      <diagonal/>
    </border>
    <border diagonalUp="false" diagonalDown="false">
      <left style="thin"/>
      <right/>
      <top style="thin"/>
      <bottom style="double"/>
      <diagonal/>
    </border>
    <border diagonalUp="false" diagonalDown="false">
      <left style="double"/>
      <right style="thin"/>
      <top style="thin"/>
      <bottom style="double"/>
      <diagonal/>
    </border>
    <border diagonalUp="false" diagonalDown="false">
      <left/>
      <right style="thin"/>
      <top style="thin"/>
      <bottom style="double"/>
      <diagonal/>
    </border>
    <border diagonalUp="false" diagonalDown="false">
      <left style="thin"/>
      <right style="thin"/>
      <top style="thin"/>
      <bottom style="double"/>
      <diagonal/>
    </border>
    <border diagonalUp="false" diagonalDown="false">
      <left/>
      <right style="double"/>
      <top style="thin"/>
      <bottom style="double"/>
      <diagonal/>
    </border>
    <border diagonalUp="false" diagonalDown="false">
      <left style="double"/>
      <right style="double"/>
      <top style="double"/>
      <bottom style="double"/>
      <diagonal/>
    </border>
    <border diagonalUp="false" diagonalDown="false">
      <left style="double"/>
      <right style="double"/>
      <top style="thin"/>
      <bottom style="double"/>
      <diagonal/>
    </border>
    <border diagonalUp="false" diagonalDown="false">
      <left style="thick"/>
      <right/>
      <top style="thick"/>
      <bottom style="thick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thick"/>
      <right/>
      <top style="thick"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thick"/>
      <right/>
      <top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thick"/>
      <right/>
      <top/>
      <bottom style="thick"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68" fontId="0" fillId="0" borderId="0" applyFont="true" applyBorder="false" applyAlignment="false" applyProtection="false"/>
  </cellStyleXfs>
  <cellXfs count="2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left" vertical="bottom" textRotation="0" wrapText="false" indent="0" shrinkToFit="false"/>
      <protection locked="false" hidden="false"/>
    </xf>
    <xf numFmtId="164" fontId="11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3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2" borderId="0" xfId="0" applyFont="true" applyBorder="false" applyAlignment="true" applyProtection="true">
      <alignment horizontal="right" vertical="bottom" textRotation="0" wrapText="false" indent="0" shrinkToFit="false"/>
      <protection locked="false" hidden="false"/>
    </xf>
    <xf numFmtId="164" fontId="1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1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1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20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5" fontId="2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6" fontId="19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9" fillId="3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9" fillId="3" borderId="3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9" fillId="3" borderId="4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9" fillId="3" borderId="5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9" fillId="3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6" fillId="3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6" fillId="3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4" fillId="3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5" fillId="0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9" fillId="3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3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3" borderId="9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3" borderId="1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6" fillId="3" borderId="1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6" fillId="3" borderId="1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6" fillId="3" borderId="1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6" fillId="3" borderId="1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5" fillId="3" borderId="9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5" fillId="3" borderId="1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6" fillId="3" borderId="1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6" fillId="3" borderId="1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4" fillId="3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5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6" fillId="3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3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3" borderId="1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3" borderId="1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5" fillId="3" borderId="1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3" borderId="1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3" borderId="1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3" borderId="1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3" borderId="1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6" fillId="3" borderId="1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5" fillId="3" borderId="1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5" fillId="3" borderId="1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5" fillId="3" borderId="1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5" fillId="3" borderId="1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3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3" borderId="20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0" fillId="3" borderId="8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0" fillId="0" borderId="20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8" fontId="7" fillId="3" borderId="2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3" borderId="2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7" fillId="3" borderId="2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3" borderId="2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7" fillId="3" borderId="24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2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6" fillId="3" borderId="2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6" fillId="3" borderId="2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6" fillId="3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2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5" fillId="0" borderId="2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3" borderId="2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7" fillId="2" borderId="2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8" fillId="0" borderId="2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0" borderId="3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8" fillId="0" borderId="3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3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6" fontId="7" fillId="0" borderId="32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7" fillId="3" borderId="3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6" fontId="7" fillId="0" borderId="33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6" fontId="7" fillId="0" borderId="34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5" fontId="6" fillId="0" borderId="35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7" fontId="6" fillId="0" borderId="3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6" fillId="0" borderId="36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7" fontId="19" fillId="0" borderId="3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0" fillId="0" borderId="36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29" fillId="0" borderId="2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3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6" fontId="7" fillId="0" borderId="37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7" fillId="0" borderId="3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6" fontId="7" fillId="0" borderId="29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6" fontId="7" fillId="0" borderId="38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5" fontId="6" fillId="0" borderId="35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7" fontId="6" fillId="0" borderId="3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6" fillId="0" borderId="39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7" fontId="0" fillId="0" borderId="39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6" fontId="7" fillId="0" borderId="37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6" fontId="7" fillId="0" borderId="29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6" fontId="7" fillId="0" borderId="38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7" fontId="6" fillId="0" borderId="39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7" fontId="0" fillId="0" borderId="39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0" fillId="0" borderId="39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7" fillId="3" borderId="40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5" fontId="6" fillId="0" borderId="41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7" fillId="3" borderId="42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5" fontId="6" fillId="0" borderId="36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0" fillId="0" borderId="4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26" fillId="4" borderId="4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0" fillId="0" borderId="4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26" fillId="0" borderId="44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26" fillId="0" borderId="45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26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30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31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28" fillId="0" borderId="3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46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7" fillId="0" borderId="3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7" fontId="19" fillId="0" borderId="3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32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33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34" fillId="0" borderId="2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46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28" fillId="0" borderId="4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46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7" fillId="0" borderId="48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7" fontId="6" fillId="0" borderId="49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0" fillId="0" borderId="19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7" fontId="6" fillId="0" borderId="4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0" fillId="0" borderId="41" xfId="0" applyFont="fals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0" fillId="0" borderId="50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5" fillId="0" borderId="29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0" fillId="0" borderId="51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7" fillId="0" borderId="5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7" fillId="0" borderId="52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7" fillId="0" borderId="53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7" fillId="0" borderId="54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0" fillId="0" borderId="55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7" fontId="6" fillId="0" borderId="5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55" xfId="0" applyFont="fals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0" fillId="0" borderId="57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0" fillId="0" borderId="58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0" fillId="0" borderId="59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19" fillId="0" borderId="60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0" fillId="0" borderId="60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19" fillId="0" borderId="61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0" fillId="0" borderId="62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0" fillId="0" borderId="63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7" fillId="0" borderId="64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7" fillId="0" borderId="65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0" fillId="0" borderId="66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0" fillId="0" borderId="67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7" fontId="7" fillId="0" borderId="68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7" fillId="0" borderId="68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0" fillId="0" borderId="69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0" fillId="0" borderId="70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7" fillId="0" borderId="71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7" fillId="0" borderId="72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19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9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fals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8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39" fillId="0" borderId="0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38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39" fillId="0" borderId="0" xfId="0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4" fontId="3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9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38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39" fillId="0" borderId="0" xfId="0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4" fontId="38" fillId="0" borderId="7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39" fillId="0" borderId="73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40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41" fillId="0" borderId="2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8" fillId="0" borderId="2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2" fillId="0" borderId="29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38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8" fillId="0" borderId="4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2" fillId="0" borderId="5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8" fillId="0" borderId="43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43" fillId="0" borderId="29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8" fontId="38" fillId="0" borderId="29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8" fontId="38" fillId="0" borderId="74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42" fillId="0" borderId="75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42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4" fillId="0" borderId="29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44" fillId="0" borderId="30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45" fillId="0" borderId="30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6" fontId="46" fillId="0" borderId="29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6" fontId="43" fillId="0" borderId="2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2" fillId="0" borderId="2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38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47" fillId="0" borderId="46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48" fillId="2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5" fillId="0" borderId="29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45" fillId="0" borderId="30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45" fillId="0" borderId="76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45" fillId="0" borderId="47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49" fillId="0" borderId="29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50" fillId="0" borderId="46" xfId="0" applyFont="true" applyBorder="true" applyAlignment="false" applyProtection="true">
      <alignment horizontal="general" vertical="bottom" textRotation="0" wrapText="false" indent="0" shrinkToFit="false"/>
      <protection locked="fals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3">
    <dxf>
      <font>
        <name val="Arial"/>
        <family val="0"/>
        <strike val="0"/>
        <color rgb="FFFFFFFF"/>
      </font>
    </dxf>
    <dxf>
      <font>
        <name val="Arial"/>
        <family val="0"/>
        <color rgb="FF800080"/>
      </font>
    </dxf>
    <dxf>
      <font>
        <name val="Arial"/>
        <family val="0"/>
        <color rgb="FF800080"/>
      </font>
    </dxf>
    <dxf>
      <font>
        <name val="Arial"/>
        <family val="0"/>
        <color rgb="FF800080"/>
      </font>
    </dxf>
    <dxf>
      <font>
        <name val="Arial"/>
        <family val="0"/>
        <color rgb="FF800080"/>
      </font>
    </dxf>
    <dxf>
      <font>
        <name val="Arial"/>
        <family val="0"/>
        <color rgb="FF800080"/>
      </font>
    </dxf>
    <dxf>
      <font>
        <name val="Arial"/>
        <family val="0"/>
        <color rgb="FF800080"/>
      </font>
    </dxf>
    <dxf>
      <font>
        <name val="Arial"/>
        <family val="0"/>
        <color rgb="FFFFFFFF"/>
      </font>
    </dxf>
    <dxf>
      <font>
        <name val="Arial"/>
        <family val="0"/>
        <color rgb="FF800080"/>
      </font>
    </dxf>
    <dxf>
      <font>
        <name val="Arial"/>
        <family val="0"/>
        <color rgb="FF800080"/>
      </font>
    </dxf>
    <dxf>
      <font>
        <name val="Arial"/>
        <family val="0"/>
        <color rgb="FFFFFFFF"/>
      </font>
    </dxf>
    <dxf>
      <font>
        <name val="Arial"/>
        <family val="0"/>
        <color rgb="FFFFFFFF"/>
      </font>
    </dxf>
    <dxf>
      <font>
        <name val="Arial"/>
        <family val="0"/>
        <strike val="0"/>
        <color rgb="FFFFFFFF"/>
      </font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19</xdr:col>
      <xdr:colOff>150840</xdr:colOff>
      <xdr:row>0</xdr:row>
      <xdr:rowOff>123840</xdr:rowOff>
    </xdr:from>
    <xdr:to>
      <xdr:col>20</xdr:col>
      <xdr:colOff>271440</xdr:colOff>
      <xdr:row>3</xdr:row>
      <xdr:rowOff>9360</xdr:rowOff>
    </xdr:to>
    <xdr:pic>
      <xdr:nvPicPr>
        <xdr:cNvPr id="1" name="2 Imagen"/>
        <xdr:cNvPicPr/>
      </xdr:nvPicPr>
      <xdr:blipFill>
        <a:blip r:embed="rId1"/>
        <a:stretch/>
      </xdr:blipFill>
      <xdr:spPr>
        <a:xfrm>
          <a:off x="10386360" y="123840"/>
          <a:ext cx="522720" cy="52380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1048576"/>
  <sheetViews>
    <sheetView showFormulas="false" showGridLines="false" showRowColHeaders="true" showZeros="true" rightToLeft="false" tabSelected="true" showOutlineSymbols="true" defaultGridColor="true" view="normal" topLeftCell="A4" colorId="64" zoomScale="111" zoomScaleNormal="111" zoomScalePageLayoutView="100" workbookViewId="0">
      <selection pane="topLeft" activeCell="W10" activeCellId="0" sqref="W10:W36"/>
    </sheetView>
  </sheetViews>
  <sheetFormatPr defaultColWidth="9.13671875" defaultRowHeight="12.75" customHeight="true" zeroHeight="false" outlineLevelRow="0" outlineLevelCol="0"/>
  <cols>
    <col collapsed="false" customWidth="true" hidden="false" outlineLevel="0" max="1" min="1" style="1" width="4.14"/>
    <col collapsed="false" customWidth="true" hidden="false" outlineLevel="0" max="2" min="2" style="1" width="7.7"/>
    <col collapsed="false" customWidth="true" hidden="false" outlineLevel="0" max="3" min="3" style="1" width="32.7"/>
    <col collapsed="false" customWidth="true" hidden="false" outlineLevel="0" max="4" min="4" style="2" width="7.28"/>
    <col collapsed="false" customWidth="true" hidden="false" outlineLevel="0" max="5" min="5" style="1" width="4.14"/>
    <col collapsed="false" customWidth="true" hidden="false" outlineLevel="0" max="6" min="6" style="1" width="4.41"/>
    <col collapsed="false" customWidth="true" hidden="false" outlineLevel="0" max="7" min="7" style="1" width="4.14"/>
    <col collapsed="false" customWidth="true" hidden="false" outlineLevel="0" max="8" min="8" style="1" width="4.41"/>
    <col collapsed="false" customWidth="true" hidden="false" outlineLevel="0" max="9" min="9" style="1" width="4.14"/>
    <col collapsed="false" customWidth="true" hidden="false" outlineLevel="0" max="10" min="10" style="1" width="4.56"/>
    <col collapsed="false" customWidth="true" hidden="false" outlineLevel="0" max="11" min="11" style="1" width="4.14"/>
    <col collapsed="false" customWidth="true" hidden="false" outlineLevel="0" max="12" min="12" style="1" width="4.41"/>
    <col collapsed="false" customWidth="true" hidden="false" outlineLevel="0" max="13" min="13" style="1" width="4.56"/>
    <col collapsed="false" customWidth="true" hidden="false" outlineLevel="0" max="14" min="14" style="1" width="4.14"/>
    <col collapsed="false" customWidth="true" hidden="false" outlineLevel="0" max="15" min="15" style="1" width="4.56"/>
    <col collapsed="false" customWidth="true" hidden="false" outlineLevel="0" max="16" min="16" style="1" width="4.14"/>
    <col collapsed="false" customWidth="true" hidden="false" outlineLevel="0" max="17" min="17" style="1" width="4.56"/>
    <col collapsed="false" customWidth="true" hidden="false" outlineLevel="0" max="19" min="18" style="1" width="4.14"/>
    <col collapsed="false" customWidth="true" hidden="false" outlineLevel="0" max="20" min="20" style="1" width="4.56"/>
    <col collapsed="false" customWidth="true" hidden="false" outlineLevel="0" max="21" min="21" style="1" width="4.14"/>
    <col collapsed="false" customWidth="true" hidden="false" outlineLevel="0" max="22" min="22" style="1" width="4.56"/>
    <col collapsed="false" customWidth="true" hidden="false" outlineLevel="0" max="23" min="23" style="1" width="4.14"/>
    <col collapsed="false" customWidth="true" hidden="false" outlineLevel="0" max="24" min="24" style="1" width="4.56"/>
    <col collapsed="false" customWidth="true" hidden="false" outlineLevel="0" max="26" min="25" style="1" width="4.14"/>
    <col collapsed="false" customWidth="true" hidden="false" outlineLevel="0" max="27" min="27" style="1" width="4.28"/>
    <col collapsed="false" customWidth="true" hidden="false" outlineLevel="0" max="28" min="28" style="1" width="4.14"/>
    <col collapsed="false" customWidth="true" hidden="false" outlineLevel="0" max="29" min="29" style="1" width="4.28"/>
    <col collapsed="false" customWidth="true" hidden="false" outlineLevel="0" max="30" min="30" style="1" width="4.14"/>
    <col collapsed="false" customWidth="true" hidden="false" outlineLevel="0" max="31" min="31" style="1" width="4.28"/>
    <col collapsed="false" customWidth="true" hidden="false" outlineLevel="0" max="32" min="32" style="1" width="3.7"/>
    <col collapsed="false" customWidth="true" hidden="false" outlineLevel="0" max="33" min="33" style="1" width="4.14"/>
    <col collapsed="false" customWidth="true" hidden="false" outlineLevel="0" max="34" min="34" style="1" width="3.7"/>
    <col collapsed="false" customWidth="true" hidden="false" outlineLevel="0" max="35" min="35" style="1" width="3.99"/>
    <col collapsed="false" customWidth="true" hidden="false" outlineLevel="0" max="36" min="36" style="1" width="4.14"/>
    <col collapsed="false" customWidth="true" hidden="false" outlineLevel="0" max="37" min="37" style="1" width="10.28"/>
    <col collapsed="false" customWidth="true" hidden="false" outlineLevel="0" max="38" min="38" style="1" width="15.13"/>
    <col collapsed="false" customWidth="false" hidden="false" outlineLevel="0" max="39" min="39" style="1" width="9.14"/>
    <col collapsed="false" customWidth="true" hidden="true" outlineLevel="0" max="43" min="40" style="1" width="11.42"/>
    <col collapsed="false" customWidth="false" hidden="false" outlineLevel="0" max="257" min="44" style="1" width="9.14"/>
  </cols>
  <sheetData>
    <row r="1" customFormat="false" ht="12.75" hidden="false" customHeight="true" outlineLevel="0" collapsed="false">
      <c r="A1" s="3" t="s">
        <v>0</v>
      </c>
      <c r="B1" s="3"/>
      <c r="C1" s="4"/>
      <c r="D1" s="5" t="s">
        <v>1</v>
      </c>
      <c r="E1" s="4"/>
      <c r="F1" s="4"/>
      <c r="G1" s="4"/>
      <c r="H1" s="4"/>
      <c r="S1" s="6"/>
      <c r="T1" s="4"/>
      <c r="U1" s="4"/>
      <c r="V1" s="4"/>
      <c r="W1" s="4"/>
      <c r="X1" s="4"/>
      <c r="Y1" s="7" t="s">
        <v>2</v>
      </c>
      <c r="Z1" s="8"/>
      <c r="AA1" s="9"/>
      <c r="AB1" s="9"/>
      <c r="AC1" s="10"/>
      <c r="AD1" s="10"/>
      <c r="AE1" s="10"/>
      <c r="AF1" s="6"/>
      <c r="AG1" s="6"/>
      <c r="AH1" s="8"/>
      <c r="AI1" s="8"/>
      <c r="AJ1" s="8"/>
      <c r="AL1" s="4"/>
    </row>
    <row r="2" customFormat="false" ht="18" hidden="false" customHeight="true" outlineLevel="0" collapsed="false">
      <c r="A2" s="7" t="s">
        <v>3</v>
      </c>
      <c r="B2" s="7"/>
      <c r="C2" s="4"/>
      <c r="D2" s="5"/>
      <c r="E2" s="4"/>
      <c r="F2" s="11" t="s">
        <v>4</v>
      </c>
      <c r="G2" s="4"/>
      <c r="H2" s="4"/>
      <c r="I2" s="4"/>
      <c r="J2" s="10"/>
      <c r="K2" s="8"/>
      <c r="L2" s="8"/>
      <c r="M2" s="4"/>
      <c r="N2" s="4"/>
      <c r="O2" s="4"/>
      <c r="P2" s="4"/>
      <c r="Q2" s="4"/>
      <c r="R2" s="6"/>
      <c r="S2" s="6"/>
      <c r="T2" s="4"/>
      <c r="U2" s="4"/>
      <c r="V2" s="4"/>
      <c r="W2" s="4"/>
      <c r="X2" s="4"/>
      <c r="Y2" s="8"/>
      <c r="Z2" s="8"/>
      <c r="AA2" s="10"/>
      <c r="AB2" s="10"/>
      <c r="AC2" s="10"/>
      <c r="AD2" s="10"/>
      <c r="AE2" s="10"/>
      <c r="AF2" s="6"/>
      <c r="AG2" s="6"/>
      <c r="AH2" s="8"/>
      <c r="AI2" s="8"/>
      <c r="AJ2" s="8"/>
      <c r="AK2" s="4"/>
      <c r="AL2" s="12"/>
    </row>
    <row r="3" customFormat="false" ht="18" hidden="false" customHeight="true" outlineLevel="0" collapsed="false">
      <c r="A3" s="7"/>
      <c r="B3" s="7"/>
      <c r="C3" s="13" t="s">
        <v>5</v>
      </c>
      <c r="D3" s="14"/>
      <c r="E3" s="13"/>
      <c r="F3" s="4"/>
      <c r="G3" s="4"/>
      <c r="H3" s="4"/>
      <c r="I3" s="4"/>
      <c r="J3" s="10"/>
      <c r="K3" s="8"/>
      <c r="L3" s="8"/>
      <c r="M3" s="4"/>
      <c r="N3" s="4"/>
      <c r="O3" s="4"/>
      <c r="P3" s="4"/>
      <c r="Q3" s="4"/>
      <c r="R3" s="6"/>
      <c r="S3" s="6"/>
      <c r="T3" s="4"/>
      <c r="U3" s="4"/>
      <c r="V3" s="4"/>
      <c r="W3" s="4"/>
      <c r="X3" s="4"/>
      <c r="Y3" s="8"/>
      <c r="Z3" s="8"/>
      <c r="AA3" s="10"/>
      <c r="AB3" s="10"/>
      <c r="AC3" s="10"/>
      <c r="AD3" s="10"/>
      <c r="AE3" s="10"/>
      <c r="AF3" s="6"/>
      <c r="AG3" s="6"/>
      <c r="AH3" s="8"/>
      <c r="AI3" s="8"/>
      <c r="AJ3" s="8"/>
      <c r="AK3" s="4"/>
      <c r="AL3" s="12"/>
    </row>
    <row r="4" customFormat="false" ht="18" hidden="false" customHeight="true" outlineLevel="0" collapsed="false">
      <c r="A4" s="15"/>
      <c r="B4" s="16"/>
      <c r="C4" s="12"/>
      <c r="D4" s="17"/>
      <c r="E4" s="12"/>
      <c r="F4" s="12"/>
      <c r="G4" s="12"/>
      <c r="H4" s="4"/>
      <c r="I4" s="4"/>
      <c r="J4" s="18" t="s">
        <v>6</v>
      </c>
      <c r="K4" s="19"/>
      <c r="L4" s="19"/>
      <c r="M4" s="13"/>
      <c r="N4" s="13"/>
      <c r="O4" s="20"/>
      <c r="P4" s="20"/>
      <c r="Q4" s="4"/>
      <c r="R4" s="6"/>
      <c r="S4" s="6"/>
      <c r="T4" s="4"/>
      <c r="U4" s="4"/>
      <c r="V4" s="4"/>
      <c r="W4" s="4"/>
      <c r="X4" s="4"/>
      <c r="Y4" s="8"/>
      <c r="Z4" s="8"/>
      <c r="AA4" s="10"/>
      <c r="AB4" s="10"/>
      <c r="AC4" s="10"/>
      <c r="AD4" s="10"/>
      <c r="AE4" s="10"/>
      <c r="AF4" s="6"/>
      <c r="AG4" s="6"/>
      <c r="AH4" s="8"/>
      <c r="AI4" s="8"/>
      <c r="AJ4" s="8"/>
      <c r="AK4" s="4"/>
      <c r="AL4" s="12"/>
    </row>
    <row r="5" customFormat="false" ht="17.25" hidden="false" customHeight="true" outlineLevel="0" collapsed="false">
      <c r="A5" s="21" t="s">
        <v>7</v>
      </c>
      <c r="B5" s="22"/>
      <c r="C5" s="21"/>
      <c r="D5" s="23"/>
      <c r="E5" s="24"/>
      <c r="F5" s="25" t="s">
        <v>8</v>
      </c>
      <c r="G5" s="26"/>
      <c r="H5" s="4" t="s">
        <v>9</v>
      </c>
      <c r="I5" s="27"/>
      <c r="J5" s="28"/>
      <c r="K5" s="29"/>
      <c r="L5" s="30"/>
      <c r="N5" s="31"/>
      <c r="O5" s="32" t="s">
        <v>10</v>
      </c>
      <c r="P5" s="31"/>
      <c r="Q5" s="31" t="s">
        <v>11</v>
      </c>
      <c r="R5" s="33"/>
      <c r="S5" s="33"/>
      <c r="U5" s="34"/>
      <c r="W5" s="34"/>
      <c r="X5" s="34" t="s">
        <v>12</v>
      </c>
      <c r="Y5" s="8"/>
      <c r="Z5" s="8"/>
      <c r="AA5" s="35" t="s">
        <v>13</v>
      </c>
      <c r="AB5" s="36"/>
      <c r="AC5" s="37"/>
      <c r="AD5" s="37"/>
      <c r="AE5" s="10"/>
      <c r="AH5" s="38"/>
      <c r="AI5" s="38"/>
      <c r="AJ5" s="39" t="s">
        <v>14</v>
      </c>
      <c r="AL5" s="40"/>
    </row>
    <row r="6" customFormat="false" ht="14.25" hidden="false" customHeight="true" outlineLevel="0" collapsed="false">
      <c r="A6" s="41"/>
      <c r="B6" s="41"/>
      <c r="C6" s="41"/>
      <c r="D6" s="42" t="s">
        <v>15</v>
      </c>
      <c r="E6" s="41"/>
      <c r="F6" s="43" t="s">
        <v>16</v>
      </c>
      <c r="G6" s="43"/>
      <c r="H6" s="43"/>
      <c r="I6" s="43"/>
      <c r="J6" s="43"/>
      <c r="K6" s="44"/>
      <c r="L6" s="45"/>
      <c r="M6" s="43" t="s">
        <v>17</v>
      </c>
      <c r="N6" s="43"/>
      <c r="O6" s="43"/>
      <c r="P6" s="43"/>
      <c r="Q6" s="43"/>
      <c r="R6" s="44"/>
      <c r="S6" s="45"/>
      <c r="T6" s="43" t="s">
        <v>18</v>
      </c>
      <c r="U6" s="43"/>
      <c r="V6" s="43"/>
      <c r="W6" s="43"/>
      <c r="X6" s="43"/>
      <c r="Y6" s="44"/>
      <c r="Z6" s="43"/>
      <c r="AA6" s="46" t="s">
        <v>19</v>
      </c>
      <c r="AB6" s="47"/>
      <c r="AC6" s="47"/>
      <c r="AD6" s="47"/>
      <c r="AE6" s="47"/>
      <c r="AF6" s="48"/>
      <c r="AG6" s="49" t="s">
        <v>20</v>
      </c>
      <c r="AH6" s="50" t="s">
        <v>20</v>
      </c>
      <c r="AI6" s="42" t="s">
        <v>21</v>
      </c>
      <c r="AJ6" s="51" t="s">
        <v>21</v>
      </c>
      <c r="AK6" s="52"/>
      <c r="AL6" s="12"/>
    </row>
    <row r="7" customFormat="false" ht="12.75" hidden="false" customHeight="true" outlineLevel="0" collapsed="false">
      <c r="A7" s="53" t="s">
        <v>22</v>
      </c>
      <c r="B7" s="53" t="s">
        <v>23</v>
      </c>
      <c r="C7" s="53" t="s">
        <v>24</v>
      </c>
      <c r="D7" s="54" t="s">
        <v>25</v>
      </c>
      <c r="E7" s="55"/>
      <c r="F7" s="56" t="s">
        <v>26</v>
      </c>
      <c r="G7" s="56"/>
      <c r="H7" s="56"/>
      <c r="I7" s="56"/>
      <c r="J7" s="57"/>
      <c r="K7" s="58" t="s">
        <v>20</v>
      </c>
      <c r="L7" s="59"/>
      <c r="M7" s="56" t="s">
        <v>26</v>
      </c>
      <c r="N7" s="56"/>
      <c r="O7" s="56"/>
      <c r="P7" s="56"/>
      <c r="Q7" s="57"/>
      <c r="R7" s="60" t="s">
        <v>20</v>
      </c>
      <c r="S7" s="61"/>
      <c r="T7" s="56" t="s">
        <v>26</v>
      </c>
      <c r="U7" s="56"/>
      <c r="V7" s="56"/>
      <c r="W7" s="56"/>
      <c r="X7" s="57"/>
      <c r="Y7" s="58" t="s">
        <v>20</v>
      </c>
      <c r="Z7" s="59"/>
      <c r="AA7" s="62" t="s">
        <v>26</v>
      </c>
      <c r="AB7" s="62"/>
      <c r="AC7" s="62"/>
      <c r="AD7" s="62"/>
      <c r="AE7" s="63"/>
      <c r="AF7" s="64" t="s">
        <v>20</v>
      </c>
      <c r="AG7" s="65" t="s">
        <v>27</v>
      </c>
      <c r="AH7" s="66" t="s">
        <v>27</v>
      </c>
      <c r="AI7" s="54" t="s">
        <v>28</v>
      </c>
      <c r="AJ7" s="67" t="s">
        <v>29</v>
      </c>
      <c r="AK7" s="68" t="s">
        <v>30</v>
      </c>
      <c r="AL7" s="12"/>
    </row>
    <row r="8" customFormat="false" ht="12.75" hidden="false" customHeight="true" outlineLevel="0" collapsed="false">
      <c r="A8" s="69"/>
      <c r="B8" s="69"/>
      <c r="C8" s="69"/>
      <c r="D8" s="54" t="s">
        <v>31</v>
      </c>
      <c r="E8" s="69"/>
      <c r="F8" s="70" t="n">
        <v>1</v>
      </c>
      <c r="G8" s="70"/>
      <c r="H8" s="71" t="n">
        <v>2</v>
      </c>
      <c r="I8" s="71"/>
      <c r="J8" s="72" t="n">
        <v>3</v>
      </c>
      <c r="K8" s="73" t="s">
        <v>27</v>
      </c>
      <c r="L8" s="74"/>
      <c r="M8" s="71" t="n">
        <v>1</v>
      </c>
      <c r="N8" s="75"/>
      <c r="O8" s="71" t="n">
        <v>2</v>
      </c>
      <c r="P8" s="70"/>
      <c r="Q8" s="76" t="n">
        <v>3</v>
      </c>
      <c r="R8" s="65" t="s">
        <v>27</v>
      </c>
      <c r="S8" s="77"/>
      <c r="T8" s="70" t="n">
        <v>1</v>
      </c>
      <c r="U8" s="70"/>
      <c r="V8" s="71" t="n">
        <v>2</v>
      </c>
      <c r="W8" s="70"/>
      <c r="X8" s="76" t="n">
        <v>3</v>
      </c>
      <c r="Y8" s="73" t="s">
        <v>27</v>
      </c>
      <c r="Z8" s="74"/>
      <c r="AA8" s="78" t="n">
        <v>1</v>
      </c>
      <c r="AB8" s="79"/>
      <c r="AC8" s="79" t="n">
        <v>2</v>
      </c>
      <c r="AD8" s="80"/>
      <c r="AE8" s="81" t="n">
        <v>3</v>
      </c>
      <c r="AF8" s="65" t="s">
        <v>27</v>
      </c>
      <c r="AG8" s="65" t="s">
        <v>32</v>
      </c>
      <c r="AH8" s="66" t="s">
        <v>32</v>
      </c>
      <c r="AI8" s="54" t="s">
        <v>33</v>
      </c>
      <c r="AJ8" s="67" t="s">
        <v>34</v>
      </c>
      <c r="AK8" s="82"/>
      <c r="AL8" s="12"/>
    </row>
    <row r="9" customFormat="false" ht="13.5" hidden="false" customHeight="true" outlineLevel="0" collapsed="false">
      <c r="A9" s="83"/>
      <c r="B9" s="84"/>
      <c r="C9" s="83"/>
      <c r="D9" s="85"/>
      <c r="E9" s="83"/>
      <c r="F9" s="86" t="n">
        <v>0.35</v>
      </c>
      <c r="G9" s="87"/>
      <c r="H9" s="88" t="n">
        <v>0.35</v>
      </c>
      <c r="I9" s="89"/>
      <c r="J9" s="90" t="n">
        <v>0.3</v>
      </c>
      <c r="K9" s="91" t="s">
        <v>32</v>
      </c>
      <c r="L9" s="74"/>
      <c r="M9" s="86" t="n">
        <v>0.35</v>
      </c>
      <c r="N9" s="87"/>
      <c r="O9" s="88" t="n">
        <v>0.35</v>
      </c>
      <c r="P9" s="89"/>
      <c r="Q9" s="90" t="n">
        <v>0.3</v>
      </c>
      <c r="R9" s="92" t="s">
        <v>32</v>
      </c>
      <c r="S9" s="77"/>
      <c r="T9" s="86" t="n">
        <v>0.35</v>
      </c>
      <c r="U9" s="87"/>
      <c r="V9" s="88" t="n">
        <v>0.35</v>
      </c>
      <c r="W9" s="89"/>
      <c r="X9" s="90" t="n">
        <v>0.3</v>
      </c>
      <c r="Y9" s="73" t="s">
        <v>32</v>
      </c>
      <c r="Z9" s="74"/>
      <c r="AA9" s="86" t="n">
        <v>0.35</v>
      </c>
      <c r="AB9" s="87"/>
      <c r="AC9" s="88" t="n">
        <v>0.35</v>
      </c>
      <c r="AD9" s="89"/>
      <c r="AE9" s="90" t="n">
        <v>0.3</v>
      </c>
      <c r="AF9" s="93" t="s">
        <v>32</v>
      </c>
      <c r="AG9" s="94" t="s">
        <v>35</v>
      </c>
      <c r="AH9" s="66" t="s">
        <v>29</v>
      </c>
      <c r="AI9" s="95" t="s">
        <v>36</v>
      </c>
      <c r="AJ9" s="96" t="s">
        <v>37</v>
      </c>
      <c r="AK9" s="97"/>
      <c r="AL9" s="12"/>
    </row>
    <row r="10" customFormat="false" ht="14.25" hidden="false" customHeight="true" outlineLevel="0" collapsed="false">
      <c r="A10" s="98" t="n">
        <v>1</v>
      </c>
      <c r="B10" s="99"/>
      <c r="C10" s="100"/>
      <c r="D10" s="101" t="s">
        <v>38</v>
      </c>
      <c r="E10" s="102"/>
      <c r="F10" s="103" t="n">
        <f aca="false">E10*35%</f>
        <v>0</v>
      </c>
      <c r="G10" s="104"/>
      <c r="H10" s="105" t="n">
        <f aca="false">G10*35%</f>
        <v>0</v>
      </c>
      <c r="I10" s="104"/>
      <c r="J10" s="106" t="n">
        <f aca="false">I10*30%</f>
        <v>0</v>
      </c>
      <c r="K10" s="107" t="n">
        <f aca="false">ROUND((F10+H10+J10),2)</f>
        <v>0</v>
      </c>
      <c r="L10" s="104"/>
      <c r="M10" s="105" t="n">
        <f aca="false">L10*35%</f>
        <v>0</v>
      </c>
      <c r="N10" s="104"/>
      <c r="O10" s="105" t="n">
        <f aca="false">N10*35%</f>
        <v>0</v>
      </c>
      <c r="P10" s="104"/>
      <c r="Q10" s="106" t="n">
        <f aca="false">P10*30%</f>
        <v>0</v>
      </c>
      <c r="R10" s="107" t="n">
        <f aca="false">ROUND((M10+O10+Q10),2)</f>
        <v>0</v>
      </c>
      <c r="S10" s="104"/>
      <c r="T10" s="105" t="n">
        <f aca="false">S10*35%</f>
        <v>0</v>
      </c>
      <c r="U10" s="104"/>
      <c r="V10" s="105" t="n">
        <f aca="false">U10*35%</f>
        <v>0</v>
      </c>
      <c r="W10" s="104"/>
      <c r="X10" s="106" t="n">
        <f aca="false">W10*30%</f>
        <v>0</v>
      </c>
      <c r="Y10" s="107" t="n">
        <f aca="false">ROUND((T10+V10+X10),2)</f>
        <v>0</v>
      </c>
      <c r="Z10" s="104"/>
      <c r="AA10" s="105" t="n">
        <f aca="false">Z10*35%</f>
        <v>0</v>
      </c>
      <c r="AB10" s="104"/>
      <c r="AC10" s="105" t="n">
        <f aca="false">AB10*35%</f>
        <v>0</v>
      </c>
      <c r="AD10" s="104"/>
      <c r="AE10" s="106" t="n">
        <f aca="false">AD10*30%</f>
        <v>0</v>
      </c>
      <c r="AF10" s="107" t="n">
        <f aca="false">ROUND((AA10+AC10+AE10),2)</f>
        <v>0</v>
      </c>
      <c r="AG10" s="107" t="n">
        <f aca="false">VALUE((K10+R10+Y10+AF10)/4)</f>
        <v>0</v>
      </c>
      <c r="AH10" s="108" t="n">
        <f aca="false">ROUND(AG10,1)</f>
        <v>0</v>
      </c>
      <c r="AI10" s="109"/>
      <c r="AJ10" s="110" t="n">
        <f aca="false">IF(AI10&lt;=0,AH10,(AH10+AI10)/2)</f>
        <v>0</v>
      </c>
      <c r="AK10" s="111"/>
    </row>
    <row r="11" customFormat="false" ht="14.25" hidden="false" customHeight="true" outlineLevel="0" collapsed="false">
      <c r="A11" s="112" t="n">
        <v>2</v>
      </c>
      <c r="B11" s="99"/>
      <c r="C11" s="100"/>
      <c r="D11" s="101" t="s">
        <v>39</v>
      </c>
      <c r="E11" s="113"/>
      <c r="F11" s="114" t="n">
        <f aca="false">E11*35%</f>
        <v>0</v>
      </c>
      <c r="G11" s="115"/>
      <c r="H11" s="116" t="n">
        <f aca="false">G11*35%</f>
        <v>0</v>
      </c>
      <c r="I11" s="115"/>
      <c r="J11" s="117" t="n">
        <f aca="false">I11*30%</f>
        <v>0</v>
      </c>
      <c r="K11" s="118" t="n">
        <f aca="false">ROUND((F11+H11+J11),2)</f>
        <v>0</v>
      </c>
      <c r="L11" s="115"/>
      <c r="M11" s="116" t="n">
        <f aca="false">L11*35%</f>
        <v>0</v>
      </c>
      <c r="N11" s="115"/>
      <c r="O11" s="116" t="n">
        <f aca="false">N11*35%</f>
        <v>0</v>
      </c>
      <c r="P11" s="115"/>
      <c r="Q11" s="117" t="n">
        <f aca="false">P11*30%</f>
        <v>0</v>
      </c>
      <c r="R11" s="107" t="n">
        <f aca="false">ROUND((M11+O11+Q11),2)</f>
        <v>0</v>
      </c>
      <c r="S11" s="115"/>
      <c r="T11" s="116" t="n">
        <f aca="false">S11*35%</f>
        <v>0</v>
      </c>
      <c r="U11" s="115"/>
      <c r="V11" s="116" t="n">
        <f aca="false">U11*35%</f>
        <v>0</v>
      </c>
      <c r="W11" s="115"/>
      <c r="X11" s="117" t="n">
        <f aca="false">W11*30%</f>
        <v>0</v>
      </c>
      <c r="Y11" s="107" t="n">
        <f aca="false">ROUND((T11+V11+X11),2)</f>
        <v>0</v>
      </c>
      <c r="Z11" s="115"/>
      <c r="AA11" s="116" t="n">
        <f aca="false">Z11*35%</f>
        <v>0</v>
      </c>
      <c r="AB11" s="115"/>
      <c r="AC11" s="116" t="n">
        <f aca="false">AB11*35%</f>
        <v>0</v>
      </c>
      <c r="AD11" s="115"/>
      <c r="AE11" s="117" t="n">
        <f aca="false">AD11*30%</f>
        <v>0</v>
      </c>
      <c r="AF11" s="107" t="n">
        <f aca="false">ROUND((AA11+AC11+AE11),2)</f>
        <v>0</v>
      </c>
      <c r="AG11" s="118" t="n">
        <f aca="false">VALUE((K11+R11+Y11+AF11)/4)</f>
        <v>0</v>
      </c>
      <c r="AH11" s="119" t="n">
        <f aca="false">ROUND(AG11,1)</f>
        <v>0</v>
      </c>
      <c r="AI11" s="120"/>
      <c r="AJ11" s="110" t="n">
        <f aca="false">IF(AI11&lt;=0,AH11,(AH11+AI11)/2)</f>
        <v>0</v>
      </c>
      <c r="AK11" s="121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  <c r="CY11" s="2"/>
      <c r="CZ11" s="2"/>
      <c r="DA11" s="2"/>
      <c r="DB11" s="2"/>
      <c r="DC11" s="2"/>
      <c r="DD11" s="2"/>
      <c r="DE11" s="2"/>
      <c r="DF11" s="2"/>
      <c r="DG11" s="2"/>
      <c r="DH11" s="2"/>
      <c r="DI11" s="2"/>
      <c r="DJ11" s="2"/>
      <c r="DK11" s="2"/>
      <c r="DL11" s="2"/>
      <c r="DM11" s="2"/>
      <c r="DN11" s="2"/>
      <c r="DO11" s="2"/>
      <c r="DP11" s="2"/>
      <c r="DQ11" s="2"/>
      <c r="DR11" s="2"/>
      <c r="DS11" s="2"/>
      <c r="DT11" s="2"/>
      <c r="DU11" s="2"/>
      <c r="DV11" s="2"/>
      <c r="DW11" s="2"/>
      <c r="DX11" s="2"/>
      <c r="DY11" s="2"/>
      <c r="DZ11" s="2"/>
      <c r="EA11" s="2"/>
      <c r="EB11" s="2"/>
      <c r="EC11" s="2"/>
      <c r="ED11" s="2"/>
      <c r="EE11" s="2"/>
      <c r="EF11" s="2"/>
      <c r="EG11" s="2"/>
      <c r="EH11" s="2"/>
      <c r="EI11" s="2"/>
      <c r="EJ11" s="2"/>
      <c r="EK11" s="2"/>
      <c r="EL11" s="2"/>
      <c r="EM11" s="2"/>
      <c r="EN11" s="2"/>
      <c r="EO11" s="2"/>
      <c r="EP11" s="2"/>
      <c r="EQ11" s="2"/>
      <c r="ER11" s="2"/>
      <c r="ES11" s="2"/>
      <c r="ET11" s="2"/>
      <c r="EU11" s="2"/>
      <c r="EV11" s="2"/>
      <c r="EW11" s="2"/>
      <c r="EX11" s="2"/>
      <c r="EY11" s="2"/>
      <c r="EZ11" s="2"/>
      <c r="FA11" s="2"/>
      <c r="FB11" s="2"/>
      <c r="FC11" s="2"/>
      <c r="FD11" s="2"/>
      <c r="FE11" s="2"/>
      <c r="FF11" s="2"/>
      <c r="FG11" s="2"/>
      <c r="FH11" s="2"/>
      <c r="FI11" s="2"/>
      <c r="FJ11" s="2"/>
      <c r="FK11" s="2"/>
      <c r="FL11" s="2"/>
      <c r="FM11" s="2"/>
      <c r="FN11" s="2"/>
      <c r="FO11" s="2"/>
      <c r="FP11" s="2"/>
      <c r="FQ11" s="2"/>
      <c r="FR11" s="2"/>
      <c r="FS11" s="2"/>
      <c r="FT11" s="2"/>
      <c r="FU11" s="2"/>
      <c r="FV11" s="2"/>
      <c r="FW11" s="2"/>
      <c r="FX11" s="2"/>
      <c r="FY11" s="2"/>
      <c r="FZ11" s="2"/>
      <c r="GA11" s="2"/>
      <c r="GB11" s="2"/>
      <c r="GC11" s="2"/>
      <c r="GD11" s="2"/>
      <c r="GE11" s="2"/>
      <c r="GF11" s="2"/>
      <c r="GG11" s="2"/>
      <c r="GH11" s="2"/>
      <c r="GI11" s="2"/>
      <c r="GJ11" s="2"/>
      <c r="GK11" s="2"/>
      <c r="GL11" s="2"/>
      <c r="GM11" s="2"/>
      <c r="GN11" s="2"/>
      <c r="GO11" s="2"/>
      <c r="GP11" s="2"/>
      <c r="GQ11" s="2"/>
      <c r="GR11" s="2"/>
      <c r="GS11" s="2"/>
      <c r="GT11" s="2"/>
      <c r="GU11" s="2"/>
      <c r="GV11" s="2"/>
      <c r="GW11" s="2"/>
      <c r="GX11" s="2"/>
      <c r="GY11" s="2"/>
      <c r="GZ11" s="2"/>
      <c r="HA11" s="2"/>
      <c r="HB11" s="2"/>
      <c r="HC11" s="2"/>
      <c r="HD11" s="2"/>
      <c r="HE11" s="2"/>
      <c r="HF11" s="2"/>
      <c r="HG11" s="2"/>
      <c r="HH11" s="2"/>
      <c r="HI11" s="2"/>
      <c r="HJ11" s="2"/>
      <c r="HK11" s="2"/>
      <c r="HL11" s="2"/>
      <c r="HM11" s="2"/>
      <c r="HN11" s="2"/>
      <c r="HO11" s="2"/>
      <c r="HP11" s="2"/>
      <c r="HQ11" s="2"/>
      <c r="HR11" s="2"/>
      <c r="HS11" s="2"/>
      <c r="HT11" s="2"/>
      <c r="HU11" s="2"/>
      <c r="HV11" s="2"/>
      <c r="HW11" s="2"/>
      <c r="HX11" s="2"/>
      <c r="HY11" s="2"/>
      <c r="HZ11" s="2"/>
      <c r="IA11" s="2"/>
      <c r="IB11" s="2"/>
      <c r="IC11" s="2"/>
      <c r="ID11" s="2"/>
      <c r="IE11" s="2"/>
      <c r="IF11" s="2"/>
      <c r="IG11" s="2"/>
      <c r="IH11" s="2"/>
      <c r="II11" s="2"/>
      <c r="IJ11" s="2"/>
      <c r="IK11" s="2"/>
      <c r="IL11" s="2"/>
      <c r="IM11" s="2"/>
      <c r="IN11" s="2"/>
      <c r="IO11" s="2"/>
      <c r="IP11" s="2"/>
      <c r="IQ11" s="2"/>
      <c r="IR11" s="2"/>
      <c r="IS11" s="2"/>
      <c r="IT11" s="2"/>
      <c r="IU11" s="2"/>
      <c r="IV11" s="2"/>
      <c r="IW11" s="2"/>
    </row>
    <row r="12" customFormat="false" ht="14.25" hidden="false" customHeight="true" outlineLevel="0" collapsed="false">
      <c r="A12" s="98" t="n">
        <v>3</v>
      </c>
      <c r="B12" s="99"/>
      <c r="C12" s="100"/>
      <c r="D12" s="101" t="s">
        <v>39</v>
      </c>
      <c r="E12" s="102"/>
      <c r="F12" s="122" t="n">
        <f aca="false">E12*35%</f>
        <v>0</v>
      </c>
      <c r="G12" s="104"/>
      <c r="H12" s="123" t="n">
        <f aca="false">G12*35%</f>
        <v>0</v>
      </c>
      <c r="I12" s="104"/>
      <c r="J12" s="124" t="n">
        <f aca="false">I12*30%</f>
        <v>0</v>
      </c>
      <c r="K12" s="107" t="n">
        <f aca="false">ROUND((F12+H12+J12),2)</f>
        <v>0</v>
      </c>
      <c r="L12" s="104"/>
      <c r="M12" s="123" t="n">
        <f aca="false">L12*35%</f>
        <v>0</v>
      </c>
      <c r="N12" s="104"/>
      <c r="O12" s="123" t="n">
        <f aca="false">N12*35%</f>
        <v>0</v>
      </c>
      <c r="P12" s="104"/>
      <c r="Q12" s="124" t="n">
        <f aca="false">P12*30%</f>
        <v>0</v>
      </c>
      <c r="R12" s="107" t="n">
        <f aca="false">ROUND((M12+O12+Q12),2)</f>
        <v>0</v>
      </c>
      <c r="S12" s="104"/>
      <c r="T12" s="123" t="n">
        <f aca="false">S12*35%</f>
        <v>0</v>
      </c>
      <c r="U12" s="104"/>
      <c r="V12" s="123" t="n">
        <f aca="false">U12*35%</f>
        <v>0</v>
      </c>
      <c r="W12" s="104"/>
      <c r="X12" s="124" t="n">
        <f aca="false">W12*30%</f>
        <v>0</v>
      </c>
      <c r="Y12" s="107" t="n">
        <f aca="false">ROUND((T12+V12+X12),2)</f>
        <v>0</v>
      </c>
      <c r="Z12" s="104"/>
      <c r="AA12" s="123" t="n">
        <f aca="false">Z12*35%</f>
        <v>0</v>
      </c>
      <c r="AB12" s="104"/>
      <c r="AC12" s="123" t="n">
        <f aca="false">AB12*35%</f>
        <v>0</v>
      </c>
      <c r="AD12" s="104"/>
      <c r="AE12" s="124" t="n">
        <f aca="false">AD12*30%</f>
        <v>0</v>
      </c>
      <c r="AF12" s="107" t="n">
        <f aca="false">ROUND((AA12+AC12+AE12),2)</f>
        <v>0</v>
      </c>
      <c r="AG12" s="107" t="n">
        <f aca="false">VALUE((K12+R12+Y12+AF12)/4)</f>
        <v>0</v>
      </c>
      <c r="AH12" s="108" t="n">
        <f aca="false">ROUND(AG12,1)</f>
        <v>0</v>
      </c>
      <c r="AI12" s="125"/>
      <c r="AJ12" s="110" t="n">
        <f aca="false">IF(AI12&lt;=0,AH12,(AH12+AI12)/2)</f>
        <v>0</v>
      </c>
      <c r="AK12" s="126"/>
    </row>
    <row r="13" customFormat="false" ht="14.25" hidden="false" customHeight="true" outlineLevel="0" collapsed="false">
      <c r="A13" s="112" t="n">
        <v>4</v>
      </c>
      <c r="B13" s="99"/>
      <c r="C13" s="100"/>
      <c r="D13" s="101" t="s">
        <v>38</v>
      </c>
      <c r="E13" s="102"/>
      <c r="F13" s="122" t="n">
        <f aca="false">E13*35%</f>
        <v>0</v>
      </c>
      <c r="G13" s="104"/>
      <c r="H13" s="123" t="n">
        <f aca="false">G13*35%</f>
        <v>0</v>
      </c>
      <c r="I13" s="104"/>
      <c r="J13" s="124" t="n">
        <f aca="false">I13*30%</f>
        <v>0</v>
      </c>
      <c r="K13" s="107" t="n">
        <f aca="false">ROUND((F13+H13+J13),2)</f>
        <v>0</v>
      </c>
      <c r="L13" s="104"/>
      <c r="M13" s="123" t="n">
        <f aca="false">L13*35%</f>
        <v>0</v>
      </c>
      <c r="N13" s="104"/>
      <c r="O13" s="123" t="n">
        <f aca="false">N13*35%</f>
        <v>0</v>
      </c>
      <c r="P13" s="104"/>
      <c r="Q13" s="124" t="n">
        <f aca="false">P13*30%</f>
        <v>0</v>
      </c>
      <c r="R13" s="107" t="n">
        <f aca="false">ROUND((M13+O13+Q13),2)</f>
        <v>0</v>
      </c>
      <c r="S13" s="104"/>
      <c r="T13" s="123" t="n">
        <f aca="false">S13*35%</f>
        <v>0</v>
      </c>
      <c r="U13" s="104"/>
      <c r="V13" s="123" t="n">
        <f aca="false">U13*35%</f>
        <v>0</v>
      </c>
      <c r="W13" s="104"/>
      <c r="X13" s="124" t="n">
        <f aca="false">W13*30%</f>
        <v>0</v>
      </c>
      <c r="Y13" s="107" t="n">
        <f aca="false">ROUND((T13+V13+X13),2)</f>
        <v>0</v>
      </c>
      <c r="Z13" s="104"/>
      <c r="AA13" s="123" t="n">
        <f aca="false">Z13*35%</f>
        <v>0</v>
      </c>
      <c r="AB13" s="104"/>
      <c r="AC13" s="123" t="n">
        <f aca="false">AB13*35%</f>
        <v>0</v>
      </c>
      <c r="AD13" s="104"/>
      <c r="AE13" s="124" t="n">
        <f aca="false">AD13*30%</f>
        <v>0</v>
      </c>
      <c r="AF13" s="107" t="n">
        <f aca="false">ROUND((AA13+AC13+AE13),2)</f>
        <v>0</v>
      </c>
      <c r="AG13" s="107" t="n">
        <f aca="false">VALUE((K13+R13+Y13+AF13)/4)</f>
        <v>0</v>
      </c>
      <c r="AH13" s="108" t="n">
        <f aca="false">ROUND(AG13,1)</f>
        <v>0</v>
      </c>
      <c r="AI13" s="125"/>
      <c r="AJ13" s="110" t="n">
        <f aca="false">IF(AI13&lt;=0,AH13,(AH13+AI13)/2)</f>
        <v>0</v>
      </c>
      <c r="AK13" s="126"/>
    </row>
    <row r="14" customFormat="false" ht="14.25" hidden="false" customHeight="true" outlineLevel="0" collapsed="false">
      <c r="A14" s="98" t="n">
        <v>5</v>
      </c>
      <c r="B14" s="99"/>
      <c r="C14" s="100"/>
      <c r="D14" s="101" t="s">
        <v>38</v>
      </c>
      <c r="E14" s="102"/>
      <c r="F14" s="122" t="n">
        <f aca="false">E14*35%</f>
        <v>0</v>
      </c>
      <c r="G14" s="104"/>
      <c r="H14" s="123" t="n">
        <f aca="false">G14*35%</f>
        <v>0</v>
      </c>
      <c r="I14" s="104"/>
      <c r="J14" s="124" t="n">
        <f aca="false">I14*30%</f>
        <v>0</v>
      </c>
      <c r="K14" s="107" t="n">
        <f aca="false">ROUND((F14+H14+J14),2)</f>
        <v>0</v>
      </c>
      <c r="L14" s="115"/>
      <c r="M14" s="123" t="n">
        <f aca="false">L14*35%</f>
        <v>0</v>
      </c>
      <c r="N14" s="115"/>
      <c r="O14" s="123" t="n">
        <f aca="false">N14*35%</f>
        <v>0</v>
      </c>
      <c r="P14" s="115"/>
      <c r="Q14" s="124" t="n">
        <f aca="false">P14*30%</f>
        <v>0</v>
      </c>
      <c r="R14" s="107" t="n">
        <f aca="false">ROUND((M14+O14+Q14),2)</f>
        <v>0</v>
      </c>
      <c r="S14" s="115"/>
      <c r="T14" s="123" t="n">
        <f aca="false">S14*35%</f>
        <v>0</v>
      </c>
      <c r="U14" s="115"/>
      <c r="V14" s="123" t="n">
        <f aca="false">U14*35%</f>
        <v>0</v>
      </c>
      <c r="W14" s="115"/>
      <c r="X14" s="124" t="n">
        <f aca="false">W14*30%</f>
        <v>0</v>
      </c>
      <c r="Y14" s="107" t="n">
        <f aca="false">ROUND((T14+V14+X14),2)</f>
        <v>0</v>
      </c>
      <c r="Z14" s="115"/>
      <c r="AA14" s="123" t="n">
        <f aca="false">Z14*35%</f>
        <v>0</v>
      </c>
      <c r="AB14" s="115"/>
      <c r="AC14" s="123" t="n">
        <f aca="false">AB14*35%</f>
        <v>0</v>
      </c>
      <c r="AD14" s="115"/>
      <c r="AE14" s="124" t="n">
        <f aca="false">AD14*30%</f>
        <v>0</v>
      </c>
      <c r="AF14" s="107" t="n">
        <f aca="false">ROUND((AA14+AC14+AE14),2)</f>
        <v>0</v>
      </c>
      <c r="AG14" s="107" t="n">
        <f aca="false">VALUE((K14+R14+Y14+AF14)/4)</f>
        <v>0</v>
      </c>
      <c r="AH14" s="108" t="n">
        <f aca="false">ROUND(AG14,1)</f>
        <v>0</v>
      </c>
      <c r="AI14" s="125"/>
      <c r="AJ14" s="110" t="n">
        <f aca="false">IF(AI14&lt;=0,AH14,(AH14+AI14)/2)</f>
        <v>0</v>
      </c>
      <c r="AK14" s="126"/>
    </row>
    <row r="15" customFormat="false" ht="14.25" hidden="false" customHeight="true" outlineLevel="0" collapsed="false">
      <c r="A15" s="112" t="n">
        <v>6</v>
      </c>
      <c r="B15" s="99"/>
      <c r="C15" s="100"/>
      <c r="D15" s="101" t="s">
        <v>38</v>
      </c>
      <c r="E15" s="102"/>
      <c r="F15" s="122" t="n">
        <f aca="false">E15*35%</f>
        <v>0</v>
      </c>
      <c r="G15" s="104"/>
      <c r="H15" s="123" t="n">
        <f aca="false">G15*35%</f>
        <v>0</v>
      </c>
      <c r="I15" s="104"/>
      <c r="J15" s="124" t="n">
        <f aca="false">I15*30%</f>
        <v>0</v>
      </c>
      <c r="K15" s="107" t="n">
        <f aca="false">ROUND((F15+H15+J15),2)</f>
        <v>0</v>
      </c>
      <c r="L15" s="104"/>
      <c r="M15" s="123" t="n">
        <f aca="false">L15*35%</f>
        <v>0</v>
      </c>
      <c r="N15" s="104"/>
      <c r="O15" s="123" t="n">
        <f aca="false">N15*35%</f>
        <v>0</v>
      </c>
      <c r="P15" s="104"/>
      <c r="Q15" s="124" t="n">
        <f aca="false">P15*30%</f>
        <v>0</v>
      </c>
      <c r="R15" s="107" t="n">
        <f aca="false">ROUND((M15+O15+Q15),2)</f>
        <v>0</v>
      </c>
      <c r="S15" s="104"/>
      <c r="T15" s="123" t="n">
        <f aca="false">S15*35%</f>
        <v>0</v>
      </c>
      <c r="U15" s="104"/>
      <c r="V15" s="123" t="n">
        <f aca="false">U15*35%</f>
        <v>0</v>
      </c>
      <c r="W15" s="104"/>
      <c r="X15" s="124" t="n">
        <f aca="false">W15*30%</f>
        <v>0</v>
      </c>
      <c r="Y15" s="107" t="n">
        <f aca="false">ROUND((T15+V15+X15),2)</f>
        <v>0</v>
      </c>
      <c r="Z15" s="104"/>
      <c r="AA15" s="123" t="n">
        <f aca="false">Z15*35%</f>
        <v>0</v>
      </c>
      <c r="AB15" s="104"/>
      <c r="AC15" s="123" t="n">
        <f aca="false">AB15*35%</f>
        <v>0</v>
      </c>
      <c r="AD15" s="104"/>
      <c r="AE15" s="124" t="n">
        <f aca="false">AD15*30%</f>
        <v>0</v>
      </c>
      <c r="AF15" s="107" t="n">
        <f aca="false">ROUND((AA15+AC15+AE15),2)</f>
        <v>0</v>
      </c>
      <c r="AG15" s="107" t="n">
        <f aca="false">VALUE((K15+R15+Y15+AF15)/4)</f>
        <v>0</v>
      </c>
      <c r="AH15" s="108" t="n">
        <f aca="false">ROUND(AG15,1)</f>
        <v>0</v>
      </c>
      <c r="AI15" s="125"/>
      <c r="AJ15" s="110" t="n">
        <f aca="false">IF(AI15&lt;=0,AH15,(AH15+AI15)/2)</f>
        <v>0</v>
      </c>
      <c r="AK15" s="126"/>
    </row>
    <row r="16" customFormat="false" ht="14.25" hidden="false" customHeight="true" outlineLevel="0" collapsed="false">
      <c r="A16" s="98" t="n">
        <v>7</v>
      </c>
      <c r="B16" s="99"/>
      <c r="C16" s="100"/>
      <c r="D16" s="101" t="s">
        <v>39</v>
      </c>
      <c r="E16" s="102"/>
      <c r="F16" s="122" t="n">
        <f aca="false">E16*35%</f>
        <v>0</v>
      </c>
      <c r="G16" s="104"/>
      <c r="H16" s="123" t="n">
        <f aca="false">G16*35%</f>
        <v>0</v>
      </c>
      <c r="I16" s="104"/>
      <c r="J16" s="124" t="n">
        <f aca="false">I16*30%</f>
        <v>0</v>
      </c>
      <c r="K16" s="107" t="n">
        <f aca="false">ROUND((F16+H16+J16),2)</f>
        <v>0</v>
      </c>
      <c r="L16" s="104"/>
      <c r="M16" s="123" t="n">
        <f aca="false">L16*35%</f>
        <v>0</v>
      </c>
      <c r="N16" s="104"/>
      <c r="O16" s="123" t="n">
        <f aca="false">N16*35%</f>
        <v>0</v>
      </c>
      <c r="P16" s="104"/>
      <c r="Q16" s="124" t="n">
        <f aca="false">P16*30%</f>
        <v>0</v>
      </c>
      <c r="R16" s="107" t="n">
        <f aca="false">ROUND((M16+O16+Q16),2)</f>
        <v>0</v>
      </c>
      <c r="S16" s="104"/>
      <c r="T16" s="123" t="n">
        <f aca="false">S16*35%</f>
        <v>0</v>
      </c>
      <c r="U16" s="104"/>
      <c r="V16" s="123" t="n">
        <f aca="false">U16*35%</f>
        <v>0</v>
      </c>
      <c r="W16" s="104"/>
      <c r="X16" s="124" t="n">
        <f aca="false">W16*30%</f>
        <v>0</v>
      </c>
      <c r="Y16" s="107" t="n">
        <f aca="false">ROUND((T16+V16+X16),2)</f>
        <v>0</v>
      </c>
      <c r="Z16" s="104"/>
      <c r="AA16" s="123" t="n">
        <f aca="false">Z16*35%</f>
        <v>0</v>
      </c>
      <c r="AB16" s="104"/>
      <c r="AC16" s="123" t="n">
        <f aca="false">AB16*35%</f>
        <v>0</v>
      </c>
      <c r="AD16" s="104"/>
      <c r="AE16" s="124" t="n">
        <f aca="false">AD16*30%</f>
        <v>0</v>
      </c>
      <c r="AF16" s="107" t="n">
        <f aca="false">ROUND((AA16+AC16+AE16),2)</f>
        <v>0</v>
      </c>
      <c r="AG16" s="107" t="n">
        <f aca="false">VALUE((K16+R16+Y16+AF16)/4)</f>
        <v>0</v>
      </c>
      <c r="AH16" s="108" t="n">
        <f aca="false">ROUND(AG16,1)</f>
        <v>0</v>
      </c>
      <c r="AI16" s="125"/>
      <c r="AJ16" s="110" t="n">
        <f aca="false">IF(AI16&lt;=0,AH16,(AH16+AI16)/2)</f>
        <v>0</v>
      </c>
      <c r="AK16" s="126"/>
    </row>
    <row r="17" customFormat="false" ht="14.25" hidden="false" customHeight="true" outlineLevel="0" collapsed="false">
      <c r="A17" s="112" t="n">
        <v>8</v>
      </c>
      <c r="B17" s="99"/>
      <c r="C17" s="100"/>
      <c r="D17" s="101" t="s">
        <v>39</v>
      </c>
      <c r="E17" s="102"/>
      <c r="F17" s="122" t="n">
        <f aca="false">E17*35%</f>
        <v>0</v>
      </c>
      <c r="G17" s="104"/>
      <c r="H17" s="123" t="n">
        <f aca="false">G17*35%</f>
        <v>0</v>
      </c>
      <c r="I17" s="104"/>
      <c r="J17" s="124" t="n">
        <f aca="false">I17*30%</f>
        <v>0</v>
      </c>
      <c r="K17" s="107" t="n">
        <f aca="false">ROUND((F17+H17+J17),2)</f>
        <v>0</v>
      </c>
      <c r="L17" s="115"/>
      <c r="M17" s="123" t="n">
        <f aca="false">L17*35%</f>
        <v>0</v>
      </c>
      <c r="N17" s="115"/>
      <c r="O17" s="123" t="n">
        <f aca="false">N17*35%</f>
        <v>0</v>
      </c>
      <c r="P17" s="115"/>
      <c r="Q17" s="124" t="n">
        <f aca="false">P17*30%</f>
        <v>0</v>
      </c>
      <c r="R17" s="107" t="n">
        <f aca="false">ROUND((M17+O17+Q17),2)</f>
        <v>0</v>
      </c>
      <c r="S17" s="115"/>
      <c r="T17" s="123" t="n">
        <f aca="false">S17*35%</f>
        <v>0</v>
      </c>
      <c r="U17" s="115"/>
      <c r="V17" s="123" t="n">
        <f aca="false">U17*35%</f>
        <v>0</v>
      </c>
      <c r="W17" s="115"/>
      <c r="X17" s="124" t="n">
        <f aca="false">W17*30%</f>
        <v>0</v>
      </c>
      <c r="Y17" s="107" t="n">
        <f aca="false">ROUND((T17+V17+X17),2)</f>
        <v>0</v>
      </c>
      <c r="Z17" s="115"/>
      <c r="AA17" s="123" t="n">
        <f aca="false">Z17*35%</f>
        <v>0</v>
      </c>
      <c r="AB17" s="115"/>
      <c r="AC17" s="123" t="n">
        <f aca="false">AB17*35%</f>
        <v>0</v>
      </c>
      <c r="AD17" s="115"/>
      <c r="AE17" s="124" t="n">
        <f aca="false">AD17*30%</f>
        <v>0</v>
      </c>
      <c r="AF17" s="107" t="n">
        <f aca="false">ROUND((AA17+AC17+AE17),2)</f>
        <v>0</v>
      </c>
      <c r="AG17" s="107" t="n">
        <f aca="false">VALUE((K17+R17+Y17+AF17)/4)</f>
        <v>0</v>
      </c>
      <c r="AH17" s="108" t="n">
        <f aca="false">ROUND(AG17,1)</f>
        <v>0</v>
      </c>
      <c r="AI17" s="125"/>
      <c r="AJ17" s="110" t="n">
        <f aca="false">IF(AI17&lt;=0,AH17,(AH17+AI17)/2)</f>
        <v>0</v>
      </c>
      <c r="AK17" s="126"/>
    </row>
    <row r="18" customFormat="false" ht="14.25" hidden="false" customHeight="true" outlineLevel="0" collapsed="false">
      <c r="A18" s="98" t="n">
        <v>9</v>
      </c>
      <c r="B18" s="99"/>
      <c r="C18" s="100"/>
      <c r="D18" s="101" t="s">
        <v>39</v>
      </c>
      <c r="E18" s="102"/>
      <c r="F18" s="122" t="n">
        <f aca="false">E18*35%</f>
        <v>0</v>
      </c>
      <c r="G18" s="104"/>
      <c r="H18" s="123" t="n">
        <f aca="false">G18*35%</f>
        <v>0</v>
      </c>
      <c r="I18" s="104"/>
      <c r="J18" s="124" t="n">
        <f aca="false">I18*30%</f>
        <v>0</v>
      </c>
      <c r="K18" s="107" t="n">
        <f aca="false">ROUND((F18+H18+J18),2)</f>
        <v>0</v>
      </c>
      <c r="L18" s="104"/>
      <c r="M18" s="123" t="n">
        <f aca="false">L18*35%</f>
        <v>0</v>
      </c>
      <c r="N18" s="104"/>
      <c r="O18" s="123" t="n">
        <f aca="false">N18*35%</f>
        <v>0</v>
      </c>
      <c r="P18" s="104"/>
      <c r="Q18" s="124" t="n">
        <f aca="false">P18*30%</f>
        <v>0</v>
      </c>
      <c r="R18" s="107" t="n">
        <f aca="false">ROUND((M18+O18+Q18),2)</f>
        <v>0</v>
      </c>
      <c r="S18" s="104"/>
      <c r="T18" s="123" t="n">
        <f aca="false">S18*35%</f>
        <v>0</v>
      </c>
      <c r="U18" s="104"/>
      <c r="V18" s="123" t="n">
        <f aca="false">U18*35%</f>
        <v>0</v>
      </c>
      <c r="W18" s="104"/>
      <c r="X18" s="124" t="n">
        <f aca="false">W18*30%</f>
        <v>0</v>
      </c>
      <c r="Y18" s="107" t="n">
        <f aca="false">ROUND((T18+V18+X18),2)</f>
        <v>0</v>
      </c>
      <c r="Z18" s="104"/>
      <c r="AA18" s="123" t="n">
        <f aca="false">Z18*35%</f>
        <v>0</v>
      </c>
      <c r="AB18" s="104"/>
      <c r="AC18" s="123" t="n">
        <f aca="false">AB18*35%</f>
        <v>0</v>
      </c>
      <c r="AD18" s="104"/>
      <c r="AE18" s="124" t="n">
        <f aca="false">AD18*30%</f>
        <v>0</v>
      </c>
      <c r="AF18" s="107" t="n">
        <f aca="false">ROUND((AA18+AC18+AE18),2)</f>
        <v>0</v>
      </c>
      <c r="AG18" s="107" t="n">
        <f aca="false">VALUE((K18+R18+Y18+AF18)/4)</f>
        <v>0</v>
      </c>
      <c r="AH18" s="108" t="n">
        <f aca="false">ROUND(AG18,1)</f>
        <v>0</v>
      </c>
      <c r="AI18" s="125"/>
      <c r="AJ18" s="110" t="n">
        <f aca="false">IF(AI18&lt;=0,AH18,(AH18+AI18)/2)</f>
        <v>0</v>
      </c>
      <c r="AK18" s="127"/>
      <c r="AL18" s="12"/>
    </row>
    <row r="19" customFormat="false" ht="14.25" hidden="false" customHeight="true" outlineLevel="0" collapsed="false">
      <c r="A19" s="112" t="n">
        <v>10</v>
      </c>
      <c r="B19" s="99"/>
      <c r="C19" s="100"/>
      <c r="D19" s="101" t="s">
        <v>38</v>
      </c>
      <c r="E19" s="102"/>
      <c r="F19" s="122" t="n">
        <f aca="false">E19*35%</f>
        <v>0</v>
      </c>
      <c r="G19" s="104"/>
      <c r="H19" s="123" t="n">
        <f aca="false">G19*35%</f>
        <v>0</v>
      </c>
      <c r="I19" s="104"/>
      <c r="J19" s="124" t="n">
        <f aca="false">I19*30%</f>
        <v>0</v>
      </c>
      <c r="K19" s="107" t="n">
        <f aca="false">ROUND((F19+H19+J19),2)</f>
        <v>0</v>
      </c>
      <c r="L19" s="104"/>
      <c r="M19" s="123" t="n">
        <f aca="false">L19*35%</f>
        <v>0</v>
      </c>
      <c r="N19" s="104"/>
      <c r="O19" s="123" t="n">
        <f aca="false">N19*35%</f>
        <v>0</v>
      </c>
      <c r="P19" s="104"/>
      <c r="Q19" s="124" t="n">
        <f aca="false">P19*30%</f>
        <v>0</v>
      </c>
      <c r="R19" s="107" t="n">
        <f aca="false">ROUND((M19+O19+Q19),2)</f>
        <v>0</v>
      </c>
      <c r="S19" s="104"/>
      <c r="T19" s="123" t="n">
        <f aca="false">S19*35%</f>
        <v>0</v>
      </c>
      <c r="U19" s="104"/>
      <c r="V19" s="123" t="n">
        <f aca="false">U19*35%</f>
        <v>0</v>
      </c>
      <c r="W19" s="104"/>
      <c r="X19" s="124" t="n">
        <f aca="false">W19*30%</f>
        <v>0</v>
      </c>
      <c r="Y19" s="107" t="n">
        <f aca="false">ROUND((T19+V19+X19),2)</f>
        <v>0</v>
      </c>
      <c r="Z19" s="104"/>
      <c r="AA19" s="123" t="n">
        <f aca="false">Z19*35%</f>
        <v>0</v>
      </c>
      <c r="AB19" s="104"/>
      <c r="AC19" s="123" t="n">
        <f aca="false">AB19*35%</f>
        <v>0</v>
      </c>
      <c r="AD19" s="104"/>
      <c r="AE19" s="124" t="n">
        <f aca="false">AD19*30%</f>
        <v>0</v>
      </c>
      <c r="AF19" s="107" t="n">
        <f aca="false">ROUND((AA19+AC19+AE19),2)</f>
        <v>0</v>
      </c>
      <c r="AG19" s="107" t="n">
        <f aca="false">VALUE((K19+R19+Y19+AF19)/4)</f>
        <v>0</v>
      </c>
      <c r="AH19" s="108" t="n">
        <f aca="false">ROUND(AG19,1)</f>
        <v>0</v>
      </c>
      <c r="AI19" s="125"/>
      <c r="AJ19" s="110" t="n">
        <f aca="false">IF(AI19&lt;=0,AH19,(AH19+AI19)/2)</f>
        <v>0</v>
      </c>
      <c r="AK19" s="127"/>
      <c r="AL19" s="12"/>
    </row>
    <row r="20" customFormat="false" ht="14.25" hidden="false" customHeight="true" outlineLevel="0" collapsed="false">
      <c r="A20" s="98" t="n">
        <v>11</v>
      </c>
      <c r="B20" s="99"/>
      <c r="C20" s="100"/>
      <c r="D20" s="101" t="s">
        <v>39</v>
      </c>
      <c r="E20" s="102"/>
      <c r="F20" s="122" t="n">
        <f aca="false">E20*35%</f>
        <v>0</v>
      </c>
      <c r="G20" s="104"/>
      <c r="H20" s="123" t="n">
        <f aca="false">G20*35%</f>
        <v>0</v>
      </c>
      <c r="I20" s="104"/>
      <c r="J20" s="124" t="n">
        <f aca="false">I20*30%</f>
        <v>0</v>
      </c>
      <c r="K20" s="107" t="n">
        <f aca="false">ROUND((F20+H20+J20),2)</f>
        <v>0</v>
      </c>
      <c r="L20" s="115"/>
      <c r="M20" s="123" t="n">
        <f aca="false">L20*35%</f>
        <v>0</v>
      </c>
      <c r="N20" s="115"/>
      <c r="O20" s="123" t="n">
        <f aca="false">N20*35%</f>
        <v>0</v>
      </c>
      <c r="P20" s="115"/>
      <c r="Q20" s="124" t="n">
        <f aca="false">P20*30%</f>
        <v>0</v>
      </c>
      <c r="R20" s="107" t="n">
        <f aca="false">ROUND((M20+O20+Q20),2)</f>
        <v>0</v>
      </c>
      <c r="S20" s="115"/>
      <c r="T20" s="123" t="n">
        <f aca="false">S20*35%</f>
        <v>0</v>
      </c>
      <c r="U20" s="115"/>
      <c r="V20" s="123" t="n">
        <f aca="false">U20*35%</f>
        <v>0</v>
      </c>
      <c r="W20" s="115"/>
      <c r="X20" s="124" t="n">
        <f aca="false">W20*30%</f>
        <v>0</v>
      </c>
      <c r="Y20" s="107" t="n">
        <f aca="false">ROUND((T20+V20+X20),2)</f>
        <v>0</v>
      </c>
      <c r="Z20" s="115"/>
      <c r="AA20" s="123" t="n">
        <f aca="false">Z20*35%</f>
        <v>0</v>
      </c>
      <c r="AB20" s="115"/>
      <c r="AC20" s="123" t="n">
        <f aca="false">AB20*35%</f>
        <v>0</v>
      </c>
      <c r="AD20" s="115"/>
      <c r="AE20" s="124" t="n">
        <f aca="false">AD20*30%</f>
        <v>0</v>
      </c>
      <c r="AF20" s="107" t="n">
        <f aca="false">ROUND((AA20+AC20+AE20),2)</f>
        <v>0</v>
      </c>
      <c r="AG20" s="107" t="n">
        <f aca="false">VALUE((K20+R20+Y20+AF20)/4)</f>
        <v>0</v>
      </c>
      <c r="AH20" s="108" t="n">
        <f aca="false">ROUND(AG20,1)</f>
        <v>0</v>
      </c>
      <c r="AI20" s="125"/>
      <c r="AJ20" s="110" t="n">
        <f aca="false">IF(AI20&lt;=0,AH20,(AH20+AI20)/2)</f>
        <v>0</v>
      </c>
      <c r="AK20" s="126"/>
      <c r="AL20" s="12"/>
    </row>
    <row r="21" customFormat="false" ht="14.25" hidden="false" customHeight="true" outlineLevel="0" collapsed="false">
      <c r="A21" s="112" t="n">
        <v>12</v>
      </c>
      <c r="B21" s="99"/>
      <c r="C21" s="100"/>
      <c r="D21" s="101" t="s">
        <v>39</v>
      </c>
      <c r="E21" s="102"/>
      <c r="F21" s="122" t="n">
        <f aca="false">E21*35%</f>
        <v>0</v>
      </c>
      <c r="G21" s="104"/>
      <c r="H21" s="123" t="n">
        <f aca="false">G21*35%</f>
        <v>0</v>
      </c>
      <c r="I21" s="104"/>
      <c r="J21" s="124" t="n">
        <f aca="false">I21*30%</f>
        <v>0</v>
      </c>
      <c r="K21" s="107" t="n">
        <f aca="false">ROUND((F21+H21+J21),2)</f>
        <v>0</v>
      </c>
      <c r="L21" s="104"/>
      <c r="M21" s="123" t="n">
        <f aca="false">L21*35%</f>
        <v>0</v>
      </c>
      <c r="N21" s="104"/>
      <c r="O21" s="123" t="n">
        <f aca="false">N21*35%</f>
        <v>0</v>
      </c>
      <c r="P21" s="104"/>
      <c r="Q21" s="124" t="n">
        <f aca="false">P21*30%</f>
        <v>0</v>
      </c>
      <c r="R21" s="107" t="n">
        <f aca="false">ROUND((M21+O21+Q21),2)</f>
        <v>0</v>
      </c>
      <c r="S21" s="104"/>
      <c r="T21" s="123" t="n">
        <f aca="false">S21*35%</f>
        <v>0</v>
      </c>
      <c r="U21" s="104"/>
      <c r="V21" s="123" t="n">
        <f aca="false">U21*35%</f>
        <v>0</v>
      </c>
      <c r="W21" s="104"/>
      <c r="X21" s="124" t="n">
        <f aca="false">W21*30%</f>
        <v>0</v>
      </c>
      <c r="Y21" s="107" t="n">
        <f aca="false">ROUND((T21+V21+X21),2)</f>
        <v>0</v>
      </c>
      <c r="Z21" s="104"/>
      <c r="AA21" s="123" t="n">
        <f aca="false">Z21*35%</f>
        <v>0</v>
      </c>
      <c r="AB21" s="104"/>
      <c r="AC21" s="123" t="n">
        <f aca="false">AB21*35%</f>
        <v>0</v>
      </c>
      <c r="AD21" s="104"/>
      <c r="AE21" s="124" t="n">
        <f aca="false">AD21*30%</f>
        <v>0</v>
      </c>
      <c r="AF21" s="107" t="n">
        <f aca="false">ROUND((AA21+AC21+AE21),2)</f>
        <v>0</v>
      </c>
      <c r="AG21" s="107" t="n">
        <f aca="false">VALUE((K21+R21+Y21+AF21)/4)</f>
        <v>0</v>
      </c>
      <c r="AH21" s="108" t="n">
        <f aca="false">ROUND(AG21,1)</f>
        <v>0</v>
      </c>
      <c r="AI21" s="125"/>
      <c r="AJ21" s="110" t="n">
        <f aca="false">IF(AI21&lt;=0,AH21,(AH21+AI21)/2)</f>
        <v>0</v>
      </c>
      <c r="AK21" s="127"/>
      <c r="AL21" s="12"/>
    </row>
    <row r="22" customFormat="false" ht="14.25" hidden="false" customHeight="true" outlineLevel="0" collapsed="false">
      <c r="A22" s="98" t="n">
        <v>13</v>
      </c>
      <c r="B22" s="99"/>
      <c r="C22" s="100"/>
      <c r="D22" s="101" t="s">
        <v>38</v>
      </c>
      <c r="E22" s="102"/>
      <c r="F22" s="122" t="n">
        <f aca="false">E22*35%</f>
        <v>0</v>
      </c>
      <c r="G22" s="104"/>
      <c r="H22" s="123" t="n">
        <f aca="false">G22*35%</f>
        <v>0</v>
      </c>
      <c r="I22" s="104"/>
      <c r="J22" s="124" t="n">
        <f aca="false">I22*30%</f>
        <v>0</v>
      </c>
      <c r="K22" s="107" t="n">
        <f aca="false">ROUND((F22+H22+J22),2)</f>
        <v>0</v>
      </c>
      <c r="L22" s="104"/>
      <c r="M22" s="123" t="n">
        <f aca="false">L22*35%</f>
        <v>0</v>
      </c>
      <c r="N22" s="104"/>
      <c r="O22" s="123" t="n">
        <f aca="false">N22*35%</f>
        <v>0</v>
      </c>
      <c r="P22" s="104"/>
      <c r="Q22" s="124" t="n">
        <f aca="false">P22*30%</f>
        <v>0</v>
      </c>
      <c r="R22" s="107" t="n">
        <f aca="false">ROUND((M22+O22+Q22),2)</f>
        <v>0</v>
      </c>
      <c r="S22" s="104"/>
      <c r="T22" s="123" t="n">
        <f aca="false">S22*35%</f>
        <v>0</v>
      </c>
      <c r="U22" s="104"/>
      <c r="V22" s="123" t="n">
        <f aca="false">U22*35%</f>
        <v>0</v>
      </c>
      <c r="W22" s="104"/>
      <c r="X22" s="124" t="n">
        <f aca="false">W22*30%</f>
        <v>0</v>
      </c>
      <c r="Y22" s="107" t="n">
        <f aca="false">ROUND((T22+V22+X22),2)</f>
        <v>0</v>
      </c>
      <c r="Z22" s="104"/>
      <c r="AA22" s="123" t="n">
        <f aca="false">Z22*35%</f>
        <v>0</v>
      </c>
      <c r="AB22" s="104"/>
      <c r="AC22" s="123" t="n">
        <f aca="false">AB22*35%</f>
        <v>0</v>
      </c>
      <c r="AD22" s="104"/>
      <c r="AE22" s="124" t="n">
        <f aca="false">AD22*30%</f>
        <v>0</v>
      </c>
      <c r="AF22" s="107" t="n">
        <f aca="false">ROUND((AA22+AC22+AE22),2)</f>
        <v>0</v>
      </c>
      <c r="AG22" s="107" t="n">
        <f aca="false">VALUE((K22+R22+Y22+AF22)/4)</f>
        <v>0</v>
      </c>
      <c r="AH22" s="108" t="n">
        <f aca="false">ROUND(AG22,1)</f>
        <v>0</v>
      </c>
      <c r="AI22" s="125"/>
      <c r="AJ22" s="110" t="n">
        <f aca="false">IF(AI22&lt;=0,AH22,(AH22+AI22)/2)</f>
        <v>0</v>
      </c>
      <c r="AK22" s="126"/>
      <c r="AL22" s="12"/>
    </row>
    <row r="23" customFormat="false" ht="14.25" hidden="false" customHeight="true" outlineLevel="0" collapsed="false">
      <c r="A23" s="112" t="n">
        <v>14</v>
      </c>
      <c r="B23" s="99"/>
      <c r="C23" s="100"/>
      <c r="D23" s="101" t="s">
        <v>38</v>
      </c>
      <c r="E23" s="102"/>
      <c r="F23" s="122" t="n">
        <f aca="false">E23*35%</f>
        <v>0</v>
      </c>
      <c r="G23" s="104"/>
      <c r="H23" s="123" t="n">
        <f aca="false">G23*35%</f>
        <v>0</v>
      </c>
      <c r="I23" s="104"/>
      <c r="J23" s="124" t="n">
        <f aca="false">I23*30%</f>
        <v>0</v>
      </c>
      <c r="K23" s="107" t="n">
        <f aca="false">ROUND((F23+H23+J23),2)</f>
        <v>0</v>
      </c>
      <c r="L23" s="115"/>
      <c r="M23" s="123" t="n">
        <f aca="false">L23*35%</f>
        <v>0</v>
      </c>
      <c r="N23" s="115"/>
      <c r="O23" s="123" t="n">
        <f aca="false">N23*35%</f>
        <v>0</v>
      </c>
      <c r="P23" s="115"/>
      <c r="Q23" s="124" t="n">
        <f aca="false">P23*30%</f>
        <v>0</v>
      </c>
      <c r="R23" s="107" t="n">
        <f aca="false">ROUND((M23+O23+Q23),2)</f>
        <v>0</v>
      </c>
      <c r="S23" s="115"/>
      <c r="T23" s="123" t="n">
        <f aca="false">S23*35%</f>
        <v>0</v>
      </c>
      <c r="U23" s="115"/>
      <c r="V23" s="123" t="n">
        <f aca="false">U23*35%</f>
        <v>0</v>
      </c>
      <c r="W23" s="115"/>
      <c r="X23" s="124" t="n">
        <f aca="false">W23*30%</f>
        <v>0</v>
      </c>
      <c r="Y23" s="107" t="n">
        <f aca="false">ROUND((T23+V23+X23),2)</f>
        <v>0</v>
      </c>
      <c r="Z23" s="115"/>
      <c r="AA23" s="123" t="n">
        <f aca="false">Z23*35%</f>
        <v>0</v>
      </c>
      <c r="AB23" s="115"/>
      <c r="AC23" s="123" t="n">
        <f aca="false">AB23*35%</f>
        <v>0</v>
      </c>
      <c r="AD23" s="115"/>
      <c r="AE23" s="124" t="n">
        <f aca="false">AD23*30%</f>
        <v>0</v>
      </c>
      <c r="AF23" s="107" t="n">
        <f aca="false">ROUND((AA23+AC23+AE23),2)</f>
        <v>0</v>
      </c>
      <c r="AG23" s="107" t="n">
        <f aca="false">VALUE((K23+R23+Y23+AF23)/4)</f>
        <v>0</v>
      </c>
      <c r="AH23" s="108" t="n">
        <f aca="false">ROUND(AG23,1)</f>
        <v>0</v>
      </c>
      <c r="AI23" s="125"/>
      <c r="AJ23" s="110" t="n">
        <f aca="false">IF(AI23&lt;=0,AH23,(AH23+AI23)/2)</f>
        <v>0</v>
      </c>
      <c r="AK23" s="126"/>
      <c r="AL23" s="12"/>
    </row>
    <row r="24" customFormat="false" ht="14.25" hidden="false" customHeight="true" outlineLevel="0" collapsed="false">
      <c r="A24" s="98" t="n">
        <v>15</v>
      </c>
      <c r="B24" s="99"/>
      <c r="C24" s="100"/>
      <c r="D24" s="101" t="s">
        <v>39</v>
      </c>
      <c r="E24" s="102"/>
      <c r="F24" s="122" t="n">
        <f aca="false">E24*35%</f>
        <v>0</v>
      </c>
      <c r="G24" s="104"/>
      <c r="H24" s="123" t="n">
        <f aca="false">G24*35%</f>
        <v>0</v>
      </c>
      <c r="I24" s="104"/>
      <c r="J24" s="124" t="n">
        <f aca="false">I24*30%</f>
        <v>0</v>
      </c>
      <c r="K24" s="107" t="n">
        <f aca="false">ROUND((F24+H24+J24),2)</f>
        <v>0</v>
      </c>
      <c r="L24" s="104"/>
      <c r="M24" s="123" t="n">
        <f aca="false">L24*35%</f>
        <v>0</v>
      </c>
      <c r="N24" s="104"/>
      <c r="O24" s="123" t="n">
        <f aca="false">N24*35%</f>
        <v>0</v>
      </c>
      <c r="P24" s="104"/>
      <c r="Q24" s="124" t="n">
        <f aca="false">P24*30%</f>
        <v>0</v>
      </c>
      <c r="R24" s="107" t="n">
        <f aca="false">ROUND((M24+O24+Q24),2)</f>
        <v>0</v>
      </c>
      <c r="S24" s="104"/>
      <c r="T24" s="123" t="n">
        <f aca="false">S24*35%</f>
        <v>0</v>
      </c>
      <c r="U24" s="104"/>
      <c r="V24" s="123" t="n">
        <f aca="false">U24*35%</f>
        <v>0</v>
      </c>
      <c r="W24" s="104"/>
      <c r="X24" s="124" t="n">
        <f aca="false">W24*30%</f>
        <v>0</v>
      </c>
      <c r="Y24" s="107" t="n">
        <f aca="false">ROUND((T24+V24+X24),2)</f>
        <v>0</v>
      </c>
      <c r="Z24" s="104"/>
      <c r="AA24" s="123" t="n">
        <f aca="false">Z24*35%</f>
        <v>0</v>
      </c>
      <c r="AB24" s="104"/>
      <c r="AC24" s="123" t="n">
        <f aca="false">AB24*35%</f>
        <v>0</v>
      </c>
      <c r="AD24" s="104"/>
      <c r="AE24" s="124" t="n">
        <f aca="false">AD24*30%</f>
        <v>0</v>
      </c>
      <c r="AF24" s="107" t="n">
        <f aca="false">ROUND((AA24+AC24+AE24),2)</f>
        <v>0</v>
      </c>
      <c r="AG24" s="107" t="n">
        <f aca="false">VALUE((K24+R24+Y24+AF24)/4)</f>
        <v>0</v>
      </c>
      <c r="AH24" s="108" t="n">
        <f aca="false">ROUND(AG24,1)</f>
        <v>0</v>
      </c>
      <c r="AI24" s="125"/>
      <c r="AJ24" s="110" t="n">
        <f aca="false">IF(AI24&lt;=0,AH24,(AH24+AI24)/2)</f>
        <v>0</v>
      </c>
      <c r="AK24" s="126"/>
      <c r="AL24" s="12"/>
    </row>
    <row r="25" customFormat="false" ht="14.25" hidden="false" customHeight="true" outlineLevel="0" collapsed="false">
      <c r="A25" s="112" t="n">
        <v>16</v>
      </c>
      <c r="B25" s="99"/>
      <c r="C25" s="100"/>
      <c r="D25" s="101" t="s">
        <v>38</v>
      </c>
      <c r="E25" s="102"/>
      <c r="F25" s="122" t="n">
        <f aca="false">E25*35%</f>
        <v>0</v>
      </c>
      <c r="G25" s="104"/>
      <c r="H25" s="123" t="n">
        <f aca="false">G25*35%</f>
        <v>0</v>
      </c>
      <c r="I25" s="104"/>
      <c r="J25" s="124" t="n">
        <f aca="false">I25*30%</f>
        <v>0</v>
      </c>
      <c r="K25" s="107" t="n">
        <f aca="false">ROUND((F25+H25+J25),2)</f>
        <v>0</v>
      </c>
      <c r="L25" s="104"/>
      <c r="M25" s="123" t="n">
        <f aca="false">L25*35%</f>
        <v>0</v>
      </c>
      <c r="N25" s="104"/>
      <c r="O25" s="123" t="n">
        <f aca="false">N25*35%</f>
        <v>0</v>
      </c>
      <c r="P25" s="104"/>
      <c r="Q25" s="124" t="n">
        <f aca="false">P25*30%</f>
        <v>0</v>
      </c>
      <c r="R25" s="107" t="n">
        <f aca="false">ROUND((M25+O25+Q25),2)</f>
        <v>0</v>
      </c>
      <c r="S25" s="104"/>
      <c r="T25" s="123" t="n">
        <f aca="false">S25*35%</f>
        <v>0</v>
      </c>
      <c r="U25" s="104"/>
      <c r="V25" s="123" t="n">
        <f aca="false">U25*35%</f>
        <v>0</v>
      </c>
      <c r="W25" s="104"/>
      <c r="X25" s="124" t="n">
        <f aca="false">W25*30%</f>
        <v>0</v>
      </c>
      <c r="Y25" s="107" t="n">
        <f aca="false">ROUND((T25+V25+X25),2)</f>
        <v>0</v>
      </c>
      <c r="Z25" s="104"/>
      <c r="AA25" s="123" t="n">
        <f aca="false">Z25*35%</f>
        <v>0</v>
      </c>
      <c r="AB25" s="104"/>
      <c r="AC25" s="123" t="n">
        <f aca="false">AB25*35%</f>
        <v>0</v>
      </c>
      <c r="AD25" s="104"/>
      <c r="AE25" s="124" t="n">
        <f aca="false">AD25*30%</f>
        <v>0</v>
      </c>
      <c r="AF25" s="107" t="n">
        <f aca="false">ROUND((AA25+AC25+AE25),2)</f>
        <v>0</v>
      </c>
      <c r="AG25" s="107" t="n">
        <f aca="false">VALUE((K25+R25+Y25+AF25)/4)</f>
        <v>0</v>
      </c>
      <c r="AH25" s="108" t="n">
        <f aca="false">ROUND(AG25,1)</f>
        <v>0</v>
      </c>
      <c r="AI25" s="125"/>
      <c r="AJ25" s="110" t="n">
        <f aca="false">IF(AI25&lt;=0,AH25,(AH25+AI25)/2)</f>
        <v>0</v>
      </c>
      <c r="AK25" s="126"/>
      <c r="AL25" s="12"/>
    </row>
    <row r="26" customFormat="false" ht="14.25" hidden="false" customHeight="true" outlineLevel="0" collapsed="false">
      <c r="A26" s="98" t="n">
        <v>17</v>
      </c>
      <c r="B26" s="99"/>
      <c r="C26" s="100"/>
      <c r="D26" s="101" t="s">
        <v>38</v>
      </c>
      <c r="E26" s="102"/>
      <c r="F26" s="122" t="n">
        <f aca="false">E26*35%</f>
        <v>0</v>
      </c>
      <c r="G26" s="104"/>
      <c r="H26" s="123" t="n">
        <f aca="false">G26*35%</f>
        <v>0</v>
      </c>
      <c r="I26" s="104"/>
      <c r="J26" s="124" t="n">
        <f aca="false">I26*30%</f>
        <v>0</v>
      </c>
      <c r="K26" s="107" t="n">
        <f aca="false">ROUND((F26+H26+J26),2)</f>
        <v>0</v>
      </c>
      <c r="L26" s="115"/>
      <c r="M26" s="123" t="n">
        <f aca="false">L26*35%</f>
        <v>0</v>
      </c>
      <c r="N26" s="115"/>
      <c r="O26" s="123" t="n">
        <f aca="false">N26*35%</f>
        <v>0</v>
      </c>
      <c r="P26" s="115"/>
      <c r="Q26" s="124" t="n">
        <f aca="false">P26*30%</f>
        <v>0</v>
      </c>
      <c r="R26" s="107" t="n">
        <f aca="false">ROUND((M26+O26+Q26),2)</f>
        <v>0</v>
      </c>
      <c r="S26" s="115"/>
      <c r="T26" s="123" t="n">
        <f aca="false">S26*35%</f>
        <v>0</v>
      </c>
      <c r="U26" s="115"/>
      <c r="V26" s="123" t="n">
        <f aca="false">U26*35%</f>
        <v>0</v>
      </c>
      <c r="W26" s="115"/>
      <c r="X26" s="124" t="n">
        <f aca="false">W26*30%</f>
        <v>0</v>
      </c>
      <c r="Y26" s="107" t="n">
        <f aca="false">ROUND((T26+V26+X26),2)</f>
        <v>0</v>
      </c>
      <c r="Z26" s="115"/>
      <c r="AA26" s="123" t="n">
        <f aca="false">Z26*35%</f>
        <v>0</v>
      </c>
      <c r="AB26" s="115"/>
      <c r="AC26" s="123" t="n">
        <f aca="false">AB26*35%</f>
        <v>0</v>
      </c>
      <c r="AD26" s="115"/>
      <c r="AE26" s="124" t="n">
        <f aca="false">AD26*30%</f>
        <v>0</v>
      </c>
      <c r="AF26" s="107" t="n">
        <f aca="false">ROUND((AA26+AC26+AE26),2)</f>
        <v>0</v>
      </c>
      <c r="AG26" s="107" t="n">
        <f aca="false">VALUE((K26+R26+Y26+AF26)/4)</f>
        <v>0</v>
      </c>
      <c r="AH26" s="108" t="n">
        <f aca="false">ROUND(AG26,1)</f>
        <v>0</v>
      </c>
      <c r="AI26" s="125"/>
      <c r="AJ26" s="110" t="n">
        <f aca="false">IF(AI26&lt;=0,AH26,(AH26+AI26)/2)</f>
        <v>0</v>
      </c>
      <c r="AK26" s="127"/>
      <c r="AL26" s="12"/>
    </row>
    <row r="27" customFormat="false" ht="14.25" hidden="false" customHeight="true" outlineLevel="0" collapsed="false">
      <c r="A27" s="112" t="n">
        <v>18</v>
      </c>
      <c r="B27" s="99"/>
      <c r="C27" s="100"/>
      <c r="D27" s="101" t="s">
        <v>39</v>
      </c>
      <c r="E27" s="102"/>
      <c r="F27" s="122" t="n">
        <f aca="false">E27*35%</f>
        <v>0</v>
      </c>
      <c r="G27" s="104"/>
      <c r="H27" s="123" t="n">
        <f aca="false">G27*35%</f>
        <v>0</v>
      </c>
      <c r="I27" s="104"/>
      <c r="J27" s="124" t="n">
        <f aca="false">I27*30%</f>
        <v>0</v>
      </c>
      <c r="K27" s="107" t="n">
        <f aca="false">ROUND((F27+H27+J27),2)</f>
        <v>0</v>
      </c>
      <c r="L27" s="104"/>
      <c r="M27" s="123" t="n">
        <f aca="false">L27*35%</f>
        <v>0</v>
      </c>
      <c r="N27" s="104"/>
      <c r="O27" s="123" t="n">
        <f aca="false">N27*35%</f>
        <v>0</v>
      </c>
      <c r="P27" s="104"/>
      <c r="Q27" s="124" t="n">
        <f aca="false">P27*30%</f>
        <v>0</v>
      </c>
      <c r="R27" s="107" t="n">
        <f aca="false">ROUND((M27+O27+Q27),2)</f>
        <v>0</v>
      </c>
      <c r="S27" s="104"/>
      <c r="T27" s="123" t="n">
        <f aca="false">S27*35%</f>
        <v>0</v>
      </c>
      <c r="U27" s="104"/>
      <c r="V27" s="123" t="n">
        <f aca="false">U27*35%</f>
        <v>0</v>
      </c>
      <c r="W27" s="104"/>
      <c r="X27" s="124" t="n">
        <f aca="false">W27*30%</f>
        <v>0</v>
      </c>
      <c r="Y27" s="107" t="n">
        <f aca="false">ROUND((T27+V27+X27),2)</f>
        <v>0</v>
      </c>
      <c r="Z27" s="104"/>
      <c r="AA27" s="123" t="n">
        <f aca="false">Z27*35%</f>
        <v>0</v>
      </c>
      <c r="AB27" s="104"/>
      <c r="AC27" s="123" t="n">
        <f aca="false">AB27*35%</f>
        <v>0</v>
      </c>
      <c r="AD27" s="104"/>
      <c r="AE27" s="124" t="n">
        <f aca="false">AD27*30%</f>
        <v>0</v>
      </c>
      <c r="AF27" s="107" t="n">
        <f aca="false">ROUND((AA27+AC27+AE27),2)</f>
        <v>0</v>
      </c>
      <c r="AG27" s="107" t="n">
        <f aca="false">VALUE((K27+R27+Y27+AF27)/4)</f>
        <v>0</v>
      </c>
      <c r="AH27" s="108" t="n">
        <f aca="false">ROUND(AG27,1)</f>
        <v>0</v>
      </c>
      <c r="AI27" s="125"/>
      <c r="AJ27" s="110" t="n">
        <f aca="false">IF(AI27&lt;=0,AH27,(AH27+AI27)/2)</f>
        <v>0</v>
      </c>
      <c r="AK27" s="126"/>
      <c r="AL27" s="12"/>
    </row>
    <row r="28" customFormat="false" ht="14.25" hidden="false" customHeight="true" outlineLevel="0" collapsed="false">
      <c r="A28" s="98" t="n">
        <v>19</v>
      </c>
      <c r="B28" s="99"/>
      <c r="C28" s="100"/>
      <c r="D28" s="101" t="s">
        <v>39</v>
      </c>
      <c r="E28" s="102"/>
      <c r="F28" s="122" t="n">
        <f aca="false">E28*35%</f>
        <v>0</v>
      </c>
      <c r="G28" s="104"/>
      <c r="H28" s="123" t="n">
        <f aca="false">G28*35%</f>
        <v>0</v>
      </c>
      <c r="I28" s="104"/>
      <c r="J28" s="124" t="n">
        <f aca="false">I28*30%</f>
        <v>0</v>
      </c>
      <c r="K28" s="107" t="n">
        <f aca="false">ROUND((F28+H28+J28),2)</f>
        <v>0</v>
      </c>
      <c r="L28" s="104"/>
      <c r="M28" s="123" t="n">
        <f aca="false">L28*35%</f>
        <v>0</v>
      </c>
      <c r="N28" s="104"/>
      <c r="O28" s="123" t="n">
        <f aca="false">N28*35%</f>
        <v>0</v>
      </c>
      <c r="P28" s="104"/>
      <c r="Q28" s="124" t="n">
        <f aca="false">P28*30%</f>
        <v>0</v>
      </c>
      <c r="R28" s="107" t="n">
        <f aca="false">ROUND((M28+O28+Q28),2)</f>
        <v>0</v>
      </c>
      <c r="S28" s="104"/>
      <c r="T28" s="123" t="n">
        <f aca="false">S28*35%</f>
        <v>0</v>
      </c>
      <c r="U28" s="104"/>
      <c r="V28" s="123" t="n">
        <f aca="false">U28*35%</f>
        <v>0</v>
      </c>
      <c r="W28" s="104"/>
      <c r="X28" s="124" t="n">
        <f aca="false">W28*30%</f>
        <v>0</v>
      </c>
      <c r="Y28" s="107" t="n">
        <f aca="false">ROUND((T28+V28+X28),2)</f>
        <v>0</v>
      </c>
      <c r="Z28" s="104"/>
      <c r="AA28" s="123" t="n">
        <f aca="false">Z28*35%</f>
        <v>0</v>
      </c>
      <c r="AB28" s="104"/>
      <c r="AC28" s="123" t="n">
        <f aca="false">AB28*35%</f>
        <v>0</v>
      </c>
      <c r="AD28" s="104"/>
      <c r="AE28" s="124" t="n">
        <f aca="false">AD28*30%</f>
        <v>0</v>
      </c>
      <c r="AF28" s="107" t="n">
        <f aca="false">ROUND((AA28+AC28+AE28),2)</f>
        <v>0</v>
      </c>
      <c r="AG28" s="107" t="n">
        <f aca="false">VALUE((K28+R28+Y28+AF28)/4)</f>
        <v>0</v>
      </c>
      <c r="AH28" s="108" t="n">
        <f aca="false">ROUND(AG28,1)</f>
        <v>0</v>
      </c>
      <c r="AI28" s="125"/>
      <c r="AJ28" s="110" t="n">
        <f aca="false">IF(AI28&lt;=0,AH28,(AH28+AI28)/2)</f>
        <v>0</v>
      </c>
      <c r="AK28" s="126"/>
      <c r="AL28" s="7"/>
    </row>
    <row r="29" customFormat="false" ht="14.25" hidden="false" customHeight="true" outlineLevel="0" collapsed="false">
      <c r="A29" s="112" t="n">
        <v>20</v>
      </c>
      <c r="B29" s="99"/>
      <c r="C29" s="100"/>
      <c r="D29" s="101" t="s">
        <v>39</v>
      </c>
      <c r="E29" s="102"/>
      <c r="F29" s="122" t="n">
        <f aca="false">E29*35%</f>
        <v>0</v>
      </c>
      <c r="G29" s="104"/>
      <c r="H29" s="123" t="n">
        <f aca="false">G29*35%</f>
        <v>0</v>
      </c>
      <c r="I29" s="104"/>
      <c r="J29" s="124" t="n">
        <f aca="false">I29*30%</f>
        <v>0</v>
      </c>
      <c r="K29" s="107" t="n">
        <f aca="false">ROUND((F29+H29+J29),2)</f>
        <v>0</v>
      </c>
      <c r="L29" s="115"/>
      <c r="M29" s="123" t="n">
        <f aca="false">L29*35%</f>
        <v>0</v>
      </c>
      <c r="N29" s="115"/>
      <c r="O29" s="123" t="n">
        <f aca="false">N29*35%</f>
        <v>0</v>
      </c>
      <c r="P29" s="115"/>
      <c r="Q29" s="124" t="n">
        <f aca="false">P29*30%</f>
        <v>0</v>
      </c>
      <c r="R29" s="107" t="n">
        <f aca="false">ROUND((M29+O29+Q29),2)</f>
        <v>0</v>
      </c>
      <c r="S29" s="115"/>
      <c r="T29" s="123" t="n">
        <f aca="false">S29*35%</f>
        <v>0</v>
      </c>
      <c r="U29" s="115"/>
      <c r="V29" s="123" t="n">
        <f aca="false">U29*35%</f>
        <v>0</v>
      </c>
      <c r="W29" s="115"/>
      <c r="X29" s="124" t="n">
        <f aca="false">W29*30%</f>
        <v>0</v>
      </c>
      <c r="Y29" s="107" t="n">
        <f aca="false">ROUND((T29+V29+X29),2)</f>
        <v>0</v>
      </c>
      <c r="Z29" s="115"/>
      <c r="AA29" s="123" t="n">
        <f aca="false">Z29*35%</f>
        <v>0</v>
      </c>
      <c r="AB29" s="115"/>
      <c r="AC29" s="123" t="n">
        <f aca="false">AB29*35%</f>
        <v>0</v>
      </c>
      <c r="AD29" s="115"/>
      <c r="AE29" s="124" t="n">
        <f aca="false">AD29*30%</f>
        <v>0</v>
      </c>
      <c r="AF29" s="107" t="n">
        <f aca="false">ROUND((AA29+AC29+AE29),2)</f>
        <v>0</v>
      </c>
      <c r="AG29" s="107" t="n">
        <f aca="false">VALUE((K29+R29+Y29+AF29)/4)</f>
        <v>0</v>
      </c>
      <c r="AH29" s="108" t="n">
        <f aca="false">ROUND(AG29,1)</f>
        <v>0</v>
      </c>
      <c r="AI29" s="125"/>
      <c r="AJ29" s="110" t="n">
        <f aca="false">IF(AI29&lt;=0,AH29,(AH29+AI29)/2)</f>
        <v>0</v>
      </c>
      <c r="AK29" s="127"/>
      <c r="AL29" s="7"/>
    </row>
    <row r="30" customFormat="false" ht="14.25" hidden="false" customHeight="true" outlineLevel="0" collapsed="false">
      <c r="A30" s="98" t="n">
        <v>21</v>
      </c>
      <c r="B30" s="99"/>
      <c r="C30" s="100"/>
      <c r="D30" s="101" t="s">
        <v>38</v>
      </c>
      <c r="E30" s="102"/>
      <c r="F30" s="122" t="n">
        <f aca="false">E30*35%</f>
        <v>0</v>
      </c>
      <c r="G30" s="104"/>
      <c r="H30" s="123" t="n">
        <f aca="false">G30*35%</f>
        <v>0</v>
      </c>
      <c r="I30" s="104"/>
      <c r="J30" s="124" t="n">
        <f aca="false">I30*30%</f>
        <v>0</v>
      </c>
      <c r="K30" s="107" t="n">
        <f aca="false">ROUND((F30+H30+J30),2)</f>
        <v>0</v>
      </c>
      <c r="L30" s="104"/>
      <c r="M30" s="123" t="n">
        <f aca="false">L30*35%</f>
        <v>0</v>
      </c>
      <c r="N30" s="104"/>
      <c r="O30" s="123" t="n">
        <f aca="false">N30*35%</f>
        <v>0</v>
      </c>
      <c r="P30" s="104"/>
      <c r="Q30" s="124" t="n">
        <f aca="false">P30*30%</f>
        <v>0</v>
      </c>
      <c r="R30" s="107" t="n">
        <f aca="false">ROUND((M30+O30+Q30),2)</f>
        <v>0</v>
      </c>
      <c r="S30" s="104"/>
      <c r="T30" s="123" t="n">
        <f aca="false">S30*35%</f>
        <v>0</v>
      </c>
      <c r="U30" s="104"/>
      <c r="V30" s="123" t="n">
        <f aca="false">U30*35%</f>
        <v>0</v>
      </c>
      <c r="W30" s="104"/>
      <c r="X30" s="124" t="n">
        <f aca="false">W30*30%</f>
        <v>0</v>
      </c>
      <c r="Y30" s="107" t="n">
        <f aca="false">ROUND((T30+V30+X30),2)</f>
        <v>0</v>
      </c>
      <c r="Z30" s="104"/>
      <c r="AA30" s="123" t="n">
        <f aca="false">Z30*35%</f>
        <v>0</v>
      </c>
      <c r="AB30" s="104"/>
      <c r="AC30" s="123" t="n">
        <f aca="false">AB30*35%</f>
        <v>0</v>
      </c>
      <c r="AD30" s="104"/>
      <c r="AE30" s="124" t="n">
        <f aca="false">AD30*30%</f>
        <v>0</v>
      </c>
      <c r="AF30" s="107" t="n">
        <f aca="false">ROUND((AA30+AC30+AE30),2)</f>
        <v>0</v>
      </c>
      <c r="AG30" s="107" t="n">
        <f aca="false">VALUE((K30+R30+Y30+AF30)/4)</f>
        <v>0</v>
      </c>
      <c r="AH30" s="108" t="n">
        <f aca="false">ROUND(AG30,1)</f>
        <v>0</v>
      </c>
      <c r="AI30" s="125"/>
      <c r="AJ30" s="110" t="n">
        <f aca="false">IF(AI30&lt;=0,AH30,(AH30+AI30)/2)</f>
        <v>0</v>
      </c>
      <c r="AK30" s="126"/>
      <c r="AL30" s="7"/>
    </row>
    <row r="31" customFormat="false" ht="14.25" hidden="false" customHeight="true" outlineLevel="0" collapsed="false">
      <c r="A31" s="98" t="n">
        <v>23</v>
      </c>
      <c r="B31" s="99"/>
      <c r="C31" s="100"/>
      <c r="D31" s="101" t="s">
        <v>38</v>
      </c>
      <c r="E31" s="102"/>
      <c r="F31" s="122" t="n">
        <f aca="false">E31*35%</f>
        <v>0</v>
      </c>
      <c r="G31" s="104"/>
      <c r="H31" s="123" t="n">
        <f aca="false">G31*35%</f>
        <v>0</v>
      </c>
      <c r="I31" s="104"/>
      <c r="J31" s="124" t="n">
        <f aca="false">I31*30%</f>
        <v>0</v>
      </c>
      <c r="K31" s="107" t="n">
        <f aca="false">ROUND((F31+H31+J31),2)</f>
        <v>0</v>
      </c>
      <c r="L31" s="115"/>
      <c r="M31" s="123" t="n">
        <f aca="false">L31*35%</f>
        <v>0</v>
      </c>
      <c r="N31" s="115"/>
      <c r="O31" s="123" t="n">
        <f aca="false">N31*35%</f>
        <v>0</v>
      </c>
      <c r="P31" s="115"/>
      <c r="Q31" s="124" t="n">
        <f aca="false">P31*30%</f>
        <v>0</v>
      </c>
      <c r="R31" s="107" t="n">
        <f aca="false">ROUND((M31+O31+Q31),2)</f>
        <v>0</v>
      </c>
      <c r="S31" s="115"/>
      <c r="T31" s="123" t="n">
        <f aca="false">S31*35%</f>
        <v>0</v>
      </c>
      <c r="U31" s="115"/>
      <c r="V31" s="123" t="n">
        <f aca="false">U31*35%</f>
        <v>0</v>
      </c>
      <c r="W31" s="115"/>
      <c r="X31" s="124" t="n">
        <f aca="false">W31*30%</f>
        <v>0</v>
      </c>
      <c r="Y31" s="107" t="n">
        <f aca="false">ROUND((T31+V31+X31),2)</f>
        <v>0</v>
      </c>
      <c r="Z31" s="115"/>
      <c r="AA31" s="123" t="n">
        <f aca="false">Z31*35%</f>
        <v>0</v>
      </c>
      <c r="AB31" s="115"/>
      <c r="AC31" s="123" t="n">
        <f aca="false">AB31*35%</f>
        <v>0</v>
      </c>
      <c r="AD31" s="115"/>
      <c r="AE31" s="124" t="n">
        <f aca="false">AD31*30%</f>
        <v>0</v>
      </c>
      <c r="AF31" s="107" t="n">
        <f aca="false">ROUND((AA31+AC31+AE31),2)</f>
        <v>0</v>
      </c>
      <c r="AG31" s="107" t="n">
        <f aca="false">VALUE((K31+R31+Y31+AF31)/4)</f>
        <v>0</v>
      </c>
      <c r="AH31" s="108" t="n">
        <f aca="false">ROUND(AG31,1)</f>
        <v>0</v>
      </c>
      <c r="AI31" s="125"/>
      <c r="AJ31" s="110" t="n">
        <f aca="false">IF(AI31&lt;=0,AH31,(AH31+AI31)/2)</f>
        <v>0</v>
      </c>
      <c r="AK31" s="126"/>
      <c r="AL31" s="12"/>
    </row>
    <row r="32" customFormat="false" ht="13.5" hidden="false" customHeight="true" outlineLevel="0" collapsed="false">
      <c r="A32" s="112" t="n">
        <v>24</v>
      </c>
      <c r="B32" s="99"/>
      <c r="C32" s="100"/>
      <c r="D32" s="101" t="s">
        <v>39</v>
      </c>
      <c r="E32" s="102"/>
      <c r="F32" s="122" t="n">
        <f aca="false">E32*35%</f>
        <v>0</v>
      </c>
      <c r="G32" s="104"/>
      <c r="H32" s="123" t="n">
        <f aca="false">G32*35%</f>
        <v>0</v>
      </c>
      <c r="I32" s="104"/>
      <c r="J32" s="124" t="n">
        <f aca="false">I32*30%</f>
        <v>0</v>
      </c>
      <c r="K32" s="107" t="n">
        <f aca="false">ROUND((F32+H32+J32),2)</f>
        <v>0</v>
      </c>
      <c r="L32" s="104"/>
      <c r="M32" s="123" t="n">
        <f aca="false">L32*35%</f>
        <v>0</v>
      </c>
      <c r="N32" s="104"/>
      <c r="O32" s="123" t="n">
        <f aca="false">N32*35%</f>
        <v>0</v>
      </c>
      <c r="P32" s="104"/>
      <c r="Q32" s="124" t="n">
        <f aca="false">P32*30%</f>
        <v>0</v>
      </c>
      <c r="R32" s="107" t="n">
        <f aca="false">ROUND((M32+O32+Q32),2)</f>
        <v>0</v>
      </c>
      <c r="S32" s="104"/>
      <c r="T32" s="123" t="n">
        <f aca="false">S32*35%</f>
        <v>0</v>
      </c>
      <c r="U32" s="104"/>
      <c r="V32" s="123" t="n">
        <f aca="false">U32*35%</f>
        <v>0</v>
      </c>
      <c r="W32" s="104"/>
      <c r="X32" s="124" t="n">
        <f aca="false">W32*30%</f>
        <v>0</v>
      </c>
      <c r="Y32" s="107" t="n">
        <f aca="false">ROUND((T32+V32+X32),2)</f>
        <v>0</v>
      </c>
      <c r="Z32" s="104"/>
      <c r="AA32" s="123" t="n">
        <f aca="false">Z32*35%</f>
        <v>0</v>
      </c>
      <c r="AB32" s="104"/>
      <c r="AC32" s="123" t="n">
        <f aca="false">AB32*35%</f>
        <v>0</v>
      </c>
      <c r="AD32" s="104"/>
      <c r="AE32" s="124" t="n">
        <f aca="false">AD32*30%</f>
        <v>0</v>
      </c>
      <c r="AF32" s="107" t="n">
        <f aca="false">ROUND((AA32+AC32+AE32),2)</f>
        <v>0</v>
      </c>
      <c r="AG32" s="107" t="n">
        <f aca="false">VALUE((K32+R32+Y32+AF32)/4)</f>
        <v>0</v>
      </c>
      <c r="AH32" s="108" t="n">
        <f aca="false">ROUND(AG32,1)</f>
        <v>0</v>
      </c>
      <c r="AI32" s="125"/>
      <c r="AJ32" s="110" t="n">
        <f aca="false">IF(AI32&lt;=0,AH32,(AH32+AI32)/2)</f>
        <v>0</v>
      </c>
      <c r="AK32" s="127"/>
      <c r="AL32" s="12"/>
    </row>
    <row r="33" customFormat="false" ht="14.25" hidden="false" customHeight="true" outlineLevel="0" collapsed="false">
      <c r="A33" s="98" t="n">
        <v>25</v>
      </c>
      <c r="B33" s="99"/>
      <c r="C33" s="100"/>
      <c r="D33" s="101" t="s">
        <v>39</v>
      </c>
      <c r="E33" s="128"/>
      <c r="F33" s="122" t="n">
        <f aca="false">E33*35%</f>
        <v>0</v>
      </c>
      <c r="G33" s="128"/>
      <c r="H33" s="123" t="n">
        <f aca="false">G33*35%</f>
        <v>0</v>
      </c>
      <c r="I33" s="128"/>
      <c r="J33" s="124" t="n">
        <f aca="false">I33*30%</f>
        <v>0</v>
      </c>
      <c r="K33" s="129" t="n">
        <f aca="false">ROUND((F33+H33+J33),2)</f>
        <v>0</v>
      </c>
      <c r="L33" s="130"/>
      <c r="M33" s="123" t="n">
        <f aca="false">L33*35%</f>
        <v>0</v>
      </c>
      <c r="N33" s="130"/>
      <c r="O33" s="123" t="n">
        <f aca="false">N33*35%</f>
        <v>0</v>
      </c>
      <c r="P33" s="130"/>
      <c r="Q33" s="124" t="n">
        <f aca="false">P33*30%</f>
        <v>0</v>
      </c>
      <c r="R33" s="129" t="n">
        <f aca="false">ROUND((M33+O33+Q33),2)</f>
        <v>0</v>
      </c>
      <c r="S33" s="130"/>
      <c r="T33" s="123" t="n">
        <f aca="false">S33*35%</f>
        <v>0</v>
      </c>
      <c r="U33" s="130"/>
      <c r="V33" s="123" t="n">
        <f aca="false">U33*35%</f>
        <v>0</v>
      </c>
      <c r="W33" s="130"/>
      <c r="X33" s="124" t="n">
        <f aca="false">W33*30%</f>
        <v>0</v>
      </c>
      <c r="Y33" s="129" t="n">
        <f aca="false">ROUND((T33+V33+X33),2)</f>
        <v>0</v>
      </c>
      <c r="Z33" s="130"/>
      <c r="AA33" s="123" t="n">
        <f aca="false">Z33*35%</f>
        <v>0</v>
      </c>
      <c r="AB33" s="130"/>
      <c r="AC33" s="123" t="n">
        <f aca="false">AB33*35%</f>
        <v>0</v>
      </c>
      <c r="AD33" s="130"/>
      <c r="AE33" s="124" t="n">
        <f aca="false">AD33*30%</f>
        <v>0</v>
      </c>
      <c r="AF33" s="107" t="n">
        <f aca="false">ROUND((AA33+AC33+AE33),2)</f>
        <v>0</v>
      </c>
      <c r="AG33" s="131" t="n">
        <f aca="false">VALUE((K33+R33+Y33+AF33)/4)</f>
        <v>0</v>
      </c>
      <c r="AH33" s="108" t="n">
        <f aca="false">ROUND(AG33,1)</f>
        <v>0</v>
      </c>
      <c r="AI33" s="125"/>
      <c r="AJ33" s="110" t="n">
        <f aca="false">IF(AI33&lt;=0,AH33,(AH33+AI33)/2)</f>
        <v>0</v>
      </c>
      <c r="AK33" s="132"/>
      <c r="AL33" s="12"/>
    </row>
    <row r="34" customFormat="false" ht="14.25" hidden="false" customHeight="true" outlineLevel="0" collapsed="false">
      <c r="A34" s="112" t="n">
        <v>26</v>
      </c>
      <c r="B34" s="99"/>
      <c r="C34" s="100"/>
      <c r="D34" s="101" t="s">
        <v>39</v>
      </c>
      <c r="E34" s="104"/>
      <c r="F34" s="122" t="n">
        <f aca="false">E34*35%</f>
        <v>0</v>
      </c>
      <c r="G34" s="104"/>
      <c r="H34" s="123" t="n">
        <f aca="false">G34*35%</f>
        <v>0</v>
      </c>
      <c r="I34" s="104"/>
      <c r="J34" s="124" t="n">
        <f aca="false">I34*30%</f>
        <v>0</v>
      </c>
      <c r="K34" s="107" t="n">
        <f aca="false">ROUND((F34+H34+J34),2)</f>
        <v>0</v>
      </c>
      <c r="L34" s="104"/>
      <c r="M34" s="123" t="n">
        <f aca="false">L34*35%</f>
        <v>0</v>
      </c>
      <c r="N34" s="104"/>
      <c r="O34" s="123" t="n">
        <f aca="false">N34*35%</f>
        <v>0</v>
      </c>
      <c r="P34" s="104"/>
      <c r="Q34" s="124" t="n">
        <f aca="false">P34*30%</f>
        <v>0</v>
      </c>
      <c r="R34" s="107" t="n">
        <f aca="false">ROUND((M34+O34+Q34),2)</f>
        <v>0</v>
      </c>
      <c r="S34" s="104"/>
      <c r="T34" s="123" t="n">
        <f aca="false">S34*35%</f>
        <v>0</v>
      </c>
      <c r="U34" s="104"/>
      <c r="V34" s="123" t="n">
        <f aca="false">U34*35%</f>
        <v>0</v>
      </c>
      <c r="W34" s="104"/>
      <c r="X34" s="124" t="n">
        <f aca="false">W34*30%</f>
        <v>0</v>
      </c>
      <c r="Y34" s="107" t="n">
        <f aca="false">ROUND((T34+V34+X34),2)</f>
        <v>0</v>
      </c>
      <c r="Z34" s="104"/>
      <c r="AA34" s="123" t="n">
        <f aca="false">Z34*35%</f>
        <v>0</v>
      </c>
      <c r="AB34" s="104"/>
      <c r="AC34" s="123" t="n">
        <f aca="false">AB34*35%</f>
        <v>0</v>
      </c>
      <c r="AD34" s="104"/>
      <c r="AE34" s="124" t="n">
        <f aca="false">AD34*30%</f>
        <v>0</v>
      </c>
      <c r="AF34" s="107" t="n">
        <f aca="false">ROUND((AA34+AC34+AE34),2)</f>
        <v>0</v>
      </c>
      <c r="AG34" s="131" t="n">
        <f aca="false">VALUE((K34+R34+Y34+AF34)/4)</f>
        <v>0</v>
      </c>
      <c r="AH34" s="108" t="n">
        <f aca="false">ROUND(AG34,1)</f>
        <v>0</v>
      </c>
      <c r="AI34" s="125"/>
      <c r="AJ34" s="110" t="n">
        <f aca="false">IF(AI34&lt;=0,AH34,(AH34+AI34)/2)</f>
        <v>0</v>
      </c>
      <c r="AK34" s="132"/>
      <c r="AL34" s="133" t="s">
        <v>40</v>
      </c>
    </row>
    <row r="35" customFormat="false" ht="14.25" hidden="false" customHeight="true" outlineLevel="0" collapsed="false">
      <c r="A35" s="98" t="n">
        <v>27</v>
      </c>
      <c r="B35" s="99"/>
      <c r="C35" s="100"/>
      <c r="D35" s="101" t="s">
        <v>38</v>
      </c>
      <c r="E35" s="104"/>
      <c r="F35" s="122" t="n">
        <f aca="false">E35*35%</f>
        <v>0</v>
      </c>
      <c r="G35" s="104"/>
      <c r="H35" s="123" t="n">
        <f aca="false">G35*35%</f>
        <v>0</v>
      </c>
      <c r="I35" s="104"/>
      <c r="J35" s="124" t="n">
        <f aca="false">I35*30%</f>
        <v>0</v>
      </c>
      <c r="K35" s="107" t="n">
        <f aca="false">ROUND((F35+H35+J35),2)</f>
        <v>0</v>
      </c>
      <c r="L35" s="104"/>
      <c r="M35" s="123" t="n">
        <f aca="false">L35*35%</f>
        <v>0</v>
      </c>
      <c r="N35" s="104"/>
      <c r="O35" s="123" t="n">
        <f aca="false">N35*35%</f>
        <v>0</v>
      </c>
      <c r="P35" s="104"/>
      <c r="Q35" s="124" t="n">
        <f aca="false">P35*30%</f>
        <v>0</v>
      </c>
      <c r="R35" s="107" t="n">
        <f aca="false">ROUND((M35+O35+Q35),2)</f>
        <v>0</v>
      </c>
      <c r="S35" s="104"/>
      <c r="T35" s="123" t="n">
        <f aca="false">S35*35%</f>
        <v>0</v>
      </c>
      <c r="U35" s="104"/>
      <c r="V35" s="123" t="n">
        <f aca="false">U35*35%</f>
        <v>0</v>
      </c>
      <c r="W35" s="104"/>
      <c r="X35" s="124" t="n">
        <f aca="false">W35*30%</f>
        <v>0</v>
      </c>
      <c r="Y35" s="107" t="n">
        <f aca="false">ROUND((T35+V35+X35),2)</f>
        <v>0</v>
      </c>
      <c r="Z35" s="104"/>
      <c r="AA35" s="123" t="n">
        <f aca="false">Z35*35%</f>
        <v>0</v>
      </c>
      <c r="AB35" s="104"/>
      <c r="AC35" s="123" t="n">
        <f aca="false">AB35*35%</f>
        <v>0</v>
      </c>
      <c r="AD35" s="104"/>
      <c r="AE35" s="124" t="n">
        <f aca="false">AD35*30%</f>
        <v>0</v>
      </c>
      <c r="AF35" s="107" t="n">
        <f aca="false">ROUND((AA35+AC35+AE35),2)</f>
        <v>0</v>
      </c>
      <c r="AG35" s="131" t="n">
        <f aca="false">VALUE((K35+R35+Y35+AF35)/4)</f>
        <v>0</v>
      </c>
      <c r="AH35" s="108" t="n">
        <f aca="false">ROUND(AG35,1)</f>
        <v>0</v>
      </c>
      <c r="AI35" s="125"/>
      <c r="AJ35" s="110" t="n">
        <f aca="false">IF(AI35&lt;=0,AH35,(AH35+AI35)/2)</f>
        <v>0</v>
      </c>
      <c r="AK35" s="134"/>
      <c r="AL35" s="135" t="s">
        <v>41</v>
      </c>
    </row>
    <row r="36" customFormat="false" ht="14.25" hidden="false" customHeight="true" outlineLevel="0" collapsed="false">
      <c r="A36" s="112" t="n">
        <v>28</v>
      </c>
      <c r="B36" s="99"/>
      <c r="C36" s="100"/>
      <c r="D36" s="101" t="s">
        <v>39</v>
      </c>
      <c r="E36" s="104"/>
      <c r="F36" s="122" t="n">
        <f aca="false">E36*35%</f>
        <v>0</v>
      </c>
      <c r="G36" s="104"/>
      <c r="H36" s="123" t="n">
        <f aca="false">G36*35%</f>
        <v>0</v>
      </c>
      <c r="I36" s="104"/>
      <c r="J36" s="124" t="n">
        <f aca="false">I36*30%</f>
        <v>0</v>
      </c>
      <c r="K36" s="107" t="n">
        <f aca="false">ROUND((F36+H36+J36),2)</f>
        <v>0</v>
      </c>
      <c r="L36" s="104"/>
      <c r="M36" s="123" t="n">
        <f aca="false">L36*35%</f>
        <v>0</v>
      </c>
      <c r="N36" s="104"/>
      <c r="O36" s="123" t="n">
        <f aca="false">N36*35%</f>
        <v>0</v>
      </c>
      <c r="P36" s="104"/>
      <c r="Q36" s="124" t="n">
        <f aca="false">P36*30%</f>
        <v>0</v>
      </c>
      <c r="R36" s="107" t="n">
        <f aca="false">ROUND((M36+O36+Q36),2)</f>
        <v>0</v>
      </c>
      <c r="S36" s="104"/>
      <c r="T36" s="123" t="n">
        <f aca="false">S36*35%</f>
        <v>0</v>
      </c>
      <c r="U36" s="104"/>
      <c r="V36" s="123" t="n">
        <f aca="false">U36*35%</f>
        <v>0</v>
      </c>
      <c r="W36" s="104"/>
      <c r="X36" s="124" t="n">
        <f aca="false">W36*30%</f>
        <v>0</v>
      </c>
      <c r="Y36" s="107" t="n">
        <f aca="false">ROUND((T36+V36+X36),2)</f>
        <v>0</v>
      </c>
      <c r="Z36" s="104"/>
      <c r="AA36" s="123" t="n">
        <f aca="false">Z36*35%</f>
        <v>0</v>
      </c>
      <c r="AB36" s="104"/>
      <c r="AC36" s="123" t="n">
        <f aca="false">AB36*35%</f>
        <v>0</v>
      </c>
      <c r="AD36" s="104"/>
      <c r="AE36" s="124" t="n">
        <f aca="false">AD36*30%</f>
        <v>0</v>
      </c>
      <c r="AF36" s="107" t="n">
        <f aca="false">ROUND((AA36+AC36+AE36),2)</f>
        <v>0</v>
      </c>
      <c r="AG36" s="131" t="n">
        <f aca="false">VALUE((K36+R36+Y36+AF36)/4)</f>
        <v>0</v>
      </c>
      <c r="AH36" s="108" t="n">
        <f aca="false">ROUND(AG36,1)</f>
        <v>0</v>
      </c>
      <c r="AI36" s="125"/>
      <c r="AJ36" s="110" t="n">
        <f aca="false">IF(AI36&lt;=0,AH36,(AH36+AI36)/2)</f>
        <v>0</v>
      </c>
      <c r="AK36" s="134"/>
      <c r="AL36" s="135" t="s">
        <v>42</v>
      </c>
    </row>
    <row r="37" customFormat="false" ht="14.25" hidden="false" customHeight="true" outlineLevel="0" collapsed="false">
      <c r="A37" s="98" t="n">
        <v>29</v>
      </c>
      <c r="B37" s="99"/>
      <c r="C37" s="100"/>
      <c r="D37" s="101"/>
      <c r="E37" s="104"/>
      <c r="F37" s="122" t="n">
        <f aca="false">E37*35%</f>
        <v>0</v>
      </c>
      <c r="G37" s="104"/>
      <c r="H37" s="123" t="n">
        <f aca="false">G37*35%</f>
        <v>0</v>
      </c>
      <c r="I37" s="104"/>
      <c r="J37" s="124" t="n">
        <f aca="false">I37*30%</f>
        <v>0</v>
      </c>
      <c r="K37" s="107" t="n">
        <f aca="false">ROUND((F37+H37+J37),2)</f>
        <v>0</v>
      </c>
      <c r="L37" s="104"/>
      <c r="M37" s="123" t="n">
        <f aca="false">L37*35%</f>
        <v>0</v>
      </c>
      <c r="N37" s="104"/>
      <c r="O37" s="123" t="n">
        <f aca="false">N37*35%</f>
        <v>0</v>
      </c>
      <c r="P37" s="104"/>
      <c r="Q37" s="124" t="n">
        <f aca="false">P37*30%</f>
        <v>0</v>
      </c>
      <c r="R37" s="107" t="n">
        <f aca="false">ROUND((M37+O37+Q37),2)</f>
        <v>0</v>
      </c>
      <c r="S37" s="104"/>
      <c r="T37" s="123" t="n">
        <f aca="false">S37*35%</f>
        <v>0</v>
      </c>
      <c r="U37" s="104"/>
      <c r="V37" s="123" t="n">
        <f aca="false">U37*35%</f>
        <v>0</v>
      </c>
      <c r="W37" s="104"/>
      <c r="X37" s="124" t="n">
        <f aca="false">W37*30%</f>
        <v>0</v>
      </c>
      <c r="Y37" s="107" t="n">
        <f aca="false">ROUND((T37+V37+X37),2)</f>
        <v>0</v>
      </c>
      <c r="Z37" s="104"/>
      <c r="AA37" s="123" t="n">
        <f aca="false">Z37*35%</f>
        <v>0</v>
      </c>
      <c r="AB37" s="104"/>
      <c r="AC37" s="123" t="n">
        <f aca="false">AB37*35%</f>
        <v>0</v>
      </c>
      <c r="AD37" s="104"/>
      <c r="AE37" s="124" t="n">
        <f aca="false">AD37*30%</f>
        <v>0</v>
      </c>
      <c r="AF37" s="107" t="n">
        <f aca="false">ROUND((AA37+AC37+AE37),2)</f>
        <v>0</v>
      </c>
      <c r="AG37" s="131" t="n">
        <f aca="false">VALUE((K37+R37+Y37+AF37)/4)</f>
        <v>0</v>
      </c>
      <c r="AH37" s="108" t="n">
        <f aca="false">ROUND(AG37,1)</f>
        <v>0</v>
      </c>
      <c r="AI37" s="125"/>
      <c r="AJ37" s="110" t="n">
        <f aca="false">IF(AI37&lt;=0,AH37,(AH37+AI37)/2)</f>
        <v>0</v>
      </c>
      <c r="AK37" s="134"/>
      <c r="AL37" s="135" t="s">
        <v>43</v>
      </c>
    </row>
    <row r="38" customFormat="false" ht="14.25" hidden="false" customHeight="true" outlineLevel="0" collapsed="false">
      <c r="A38" s="112" t="n">
        <v>30</v>
      </c>
      <c r="B38" s="99"/>
      <c r="C38" s="100"/>
      <c r="D38" s="101"/>
      <c r="E38" s="104"/>
      <c r="F38" s="122" t="n">
        <f aca="false">E38*35%</f>
        <v>0</v>
      </c>
      <c r="G38" s="104"/>
      <c r="H38" s="123" t="n">
        <f aca="false">G38*35%</f>
        <v>0</v>
      </c>
      <c r="I38" s="104"/>
      <c r="J38" s="124" t="n">
        <f aca="false">I38*30%</f>
        <v>0</v>
      </c>
      <c r="K38" s="107" t="n">
        <f aca="false">ROUND((F38+H38+J38),2)</f>
        <v>0</v>
      </c>
      <c r="L38" s="104"/>
      <c r="M38" s="123" t="n">
        <f aca="false">L38*35%</f>
        <v>0</v>
      </c>
      <c r="N38" s="104"/>
      <c r="O38" s="123" t="n">
        <f aca="false">N38*35%</f>
        <v>0</v>
      </c>
      <c r="P38" s="104"/>
      <c r="Q38" s="124" t="n">
        <f aca="false">P38*30%</f>
        <v>0</v>
      </c>
      <c r="R38" s="107" t="n">
        <f aca="false">ROUND((M38+O38+Q38),2)</f>
        <v>0</v>
      </c>
      <c r="S38" s="104"/>
      <c r="T38" s="123" t="n">
        <f aca="false">S38*35%</f>
        <v>0</v>
      </c>
      <c r="U38" s="104"/>
      <c r="V38" s="123" t="n">
        <f aca="false">U38*35%</f>
        <v>0</v>
      </c>
      <c r="W38" s="104"/>
      <c r="X38" s="124" t="n">
        <f aca="false">W38*30%</f>
        <v>0</v>
      </c>
      <c r="Y38" s="107" t="n">
        <f aca="false">ROUND((T38+V38+X38),2)</f>
        <v>0</v>
      </c>
      <c r="Z38" s="104"/>
      <c r="AA38" s="123" t="n">
        <f aca="false">Z38*35%</f>
        <v>0</v>
      </c>
      <c r="AB38" s="104"/>
      <c r="AC38" s="123" t="n">
        <f aca="false">AB38*35%</f>
        <v>0</v>
      </c>
      <c r="AD38" s="104"/>
      <c r="AE38" s="124" t="n">
        <f aca="false">AD38*30%</f>
        <v>0</v>
      </c>
      <c r="AF38" s="107" t="n">
        <f aca="false">ROUND((AA38+AC38+AE38),2)</f>
        <v>0</v>
      </c>
      <c r="AG38" s="131" t="n">
        <f aca="false">VALUE((K38+R38+Y38+AF38)/4)</f>
        <v>0</v>
      </c>
      <c r="AH38" s="108" t="n">
        <f aca="false">ROUND(AG38,1)</f>
        <v>0</v>
      </c>
      <c r="AI38" s="125"/>
      <c r="AJ38" s="110" t="n">
        <f aca="false">IF(AI38&lt;=0,AH38,(AH38+AI38)/2)</f>
        <v>0</v>
      </c>
      <c r="AK38" s="134"/>
      <c r="AL38" s="135" t="s">
        <v>44</v>
      </c>
    </row>
    <row r="39" customFormat="false" ht="14.25" hidden="false" customHeight="true" outlineLevel="0" collapsed="false">
      <c r="A39" s="98" t="n">
        <v>31</v>
      </c>
      <c r="B39" s="99"/>
      <c r="C39" s="100"/>
      <c r="D39" s="101"/>
      <c r="E39" s="104"/>
      <c r="F39" s="122" t="n">
        <f aca="false">E39*35%</f>
        <v>0</v>
      </c>
      <c r="G39" s="104"/>
      <c r="H39" s="123" t="n">
        <f aca="false">G39*35%</f>
        <v>0</v>
      </c>
      <c r="I39" s="104"/>
      <c r="J39" s="124" t="n">
        <f aca="false">I39*30%</f>
        <v>0</v>
      </c>
      <c r="K39" s="107" t="n">
        <f aca="false">ROUND((F39+H39+J39),2)</f>
        <v>0</v>
      </c>
      <c r="L39" s="104"/>
      <c r="M39" s="123" t="n">
        <f aca="false">L39*35%</f>
        <v>0</v>
      </c>
      <c r="N39" s="104"/>
      <c r="O39" s="123" t="n">
        <f aca="false">N39*35%</f>
        <v>0</v>
      </c>
      <c r="P39" s="104"/>
      <c r="Q39" s="124" t="n">
        <f aca="false">P39*30%</f>
        <v>0</v>
      </c>
      <c r="R39" s="107" t="n">
        <f aca="false">ROUND((M39+O39+Q39),2)</f>
        <v>0</v>
      </c>
      <c r="S39" s="104"/>
      <c r="T39" s="123" t="n">
        <f aca="false">S39*35%</f>
        <v>0</v>
      </c>
      <c r="U39" s="104"/>
      <c r="V39" s="123" t="n">
        <f aca="false">U39*35%</f>
        <v>0</v>
      </c>
      <c r="W39" s="104"/>
      <c r="X39" s="124" t="n">
        <f aca="false">W39*30%</f>
        <v>0</v>
      </c>
      <c r="Y39" s="107" t="n">
        <f aca="false">ROUND((T39+V39+X39),2)</f>
        <v>0</v>
      </c>
      <c r="Z39" s="104"/>
      <c r="AA39" s="123" t="n">
        <f aca="false">Z39*35%</f>
        <v>0</v>
      </c>
      <c r="AB39" s="104"/>
      <c r="AC39" s="123" t="n">
        <f aca="false">AB39*35%</f>
        <v>0</v>
      </c>
      <c r="AD39" s="104"/>
      <c r="AE39" s="124" t="n">
        <f aca="false">AD39*30%</f>
        <v>0</v>
      </c>
      <c r="AF39" s="107" t="n">
        <f aca="false">ROUND((AA39+AC39+AE39),2)</f>
        <v>0</v>
      </c>
      <c r="AG39" s="131" t="n">
        <f aca="false">VALUE((K39+R39+Y39+AF39)/4)</f>
        <v>0</v>
      </c>
      <c r="AH39" s="108" t="n">
        <f aca="false">ROUND(AG39,1)</f>
        <v>0</v>
      </c>
      <c r="AI39" s="125"/>
      <c r="AJ39" s="110" t="n">
        <f aca="false">IF(AI39&lt;=0,AH39,(AH39+AI39)/2)</f>
        <v>0</v>
      </c>
      <c r="AK39" s="134"/>
      <c r="AL39" s="136" t="s">
        <v>45</v>
      </c>
    </row>
    <row r="40" customFormat="false" ht="14.25" hidden="false" customHeight="true" outlineLevel="0" collapsed="false">
      <c r="A40" s="112" t="n">
        <v>32</v>
      </c>
      <c r="B40" s="99"/>
      <c r="C40" s="100"/>
      <c r="D40" s="101"/>
      <c r="E40" s="104"/>
      <c r="F40" s="122" t="n">
        <f aca="false">E40*35%</f>
        <v>0</v>
      </c>
      <c r="G40" s="104"/>
      <c r="H40" s="123" t="n">
        <f aca="false">G40*35%</f>
        <v>0</v>
      </c>
      <c r="I40" s="104"/>
      <c r="J40" s="124" t="n">
        <f aca="false">I40*30%</f>
        <v>0</v>
      </c>
      <c r="K40" s="107" t="n">
        <f aca="false">ROUND((F40+H40+J40),2)</f>
        <v>0</v>
      </c>
      <c r="L40" s="104"/>
      <c r="M40" s="123" t="n">
        <f aca="false">L40*35%</f>
        <v>0</v>
      </c>
      <c r="N40" s="104"/>
      <c r="O40" s="123" t="n">
        <f aca="false">N40*35%</f>
        <v>0</v>
      </c>
      <c r="P40" s="104"/>
      <c r="Q40" s="124" t="n">
        <f aca="false">P40*30%</f>
        <v>0</v>
      </c>
      <c r="R40" s="107" t="n">
        <f aca="false">ROUND((M40+O40+Q40),2)</f>
        <v>0</v>
      </c>
      <c r="S40" s="104"/>
      <c r="T40" s="123" t="n">
        <f aca="false">S40*35%</f>
        <v>0</v>
      </c>
      <c r="U40" s="104"/>
      <c r="V40" s="123" t="n">
        <f aca="false">U40*35%</f>
        <v>0</v>
      </c>
      <c r="W40" s="104"/>
      <c r="X40" s="124" t="n">
        <f aca="false">W40*30%</f>
        <v>0</v>
      </c>
      <c r="Y40" s="107" t="n">
        <f aca="false">ROUND((T40+V40+X40),2)</f>
        <v>0</v>
      </c>
      <c r="Z40" s="104"/>
      <c r="AA40" s="123" t="n">
        <f aca="false">Z40*35%</f>
        <v>0</v>
      </c>
      <c r="AB40" s="104"/>
      <c r="AC40" s="123" t="n">
        <f aca="false">AB40*35%</f>
        <v>0</v>
      </c>
      <c r="AD40" s="104"/>
      <c r="AE40" s="124" t="n">
        <f aca="false">AD40*30%</f>
        <v>0</v>
      </c>
      <c r="AF40" s="107" t="n">
        <f aca="false">ROUND((AA40+AC40+AE40),2)</f>
        <v>0</v>
      </c>
      <c r="AG40" s="131" t="n">
        <f aca="false">VALUE((K40+R40+Y40+AF40)/4)</f>
        <v>0</v>
      </c>
      <c r="AH40" s="108" t="n">
        <f aca="false">ROUND(AG40,1)</f>
        <v>0</v>
      </c>
      <c r="AI40" s="125"/>
      <c r="AJ40" s="110" t="n">
        <f aca="false">IF(AI40&lt;=0,AH40,(AH40+AI40)/2)</f>
        <v>0</v>
      </c>
      <c r="AK40" s="134"/>
      <c r="AL40" s="137"/>
    </row>
    <row r="41" customFormat="false" ht="14.25" hidden="false" customHeight="true" outlineLevel="0" collapsed="false">
      <c r="A41" s="98" t="n">
        <v>33</v>
      </c>
      <c r="B41" s="99"/>
      <c r="C41" s="100"/>
      <c r="D41" s="101"/>
      <c r="E41" s="104"/>
      <c r="F41" s="122" t="n">
        <f aca="false">E41*35%</f>
        <v>0</v>
      </c>
      <c r="G41" s="104"/>
      <c r="H41" s="123" t="n">
        <f aca="false">G41*35%</f>
        <v>0</v>
      </c>
      <c r="I41" s="104"/>
      <c r="J41" s="124" t="n">
        <f aca="false">I41*30%</f>
        <v>0</v>
      </c>
      <c r="K41" s="107" t="n">
        <f aca="false">ROUND((F41+H41+J41),2)</f>
        <v>0</v>
      </c>
      <c r="L41" s="104"/>
      <c r="M41" s="123" t="n">
        <f aca="false">L41*35%</f>
        <v>0</v>
      </c>
      <c r="N41" s="104"/>
      <c r="O41" s="123" t="n">
        <f aca="false">N41*35%</f>
        <v>0</v>
      </c>
      <c r="P41" s="104"/>
      <c r="Q41" s="124" t="n">
        <f aca="false">P41*30%</f>
        <v>0</v>
      </c>
      <c r="R41" s="107" t="n">
        <f aca="false">ROUND((M41+O41+Q41),2)</f>
        <v>0</v>
      </c>
      <c r="S41" s="104"/>
      <c r="T41" s="123" t="n">
        <f aca="false">S41*35%</f>
        <v>0</v>
      </c>
      <c r="U41" s="104"/>
      <c r="V41" s="123" t="n">
        <f aca="false">U41*35%</f>
        <v>0</v>
      </c>
      <c r="W41" s="104"/>
      <c r="X41" s="124" t="n">
        <f aca="false">W41*30%</f>
        <v>0</v>
      </c>
      <c r="Y41" s="107" t="n">
        <f aca="false">ROUND((T41+V41+X41),2)</f>
        <v>0</v>
      </c>
      <c r="Z41" s="104"/>
      <c r="AA41" s="123" t="n">
        <f aca="false">Z41*35%</f>
        <v>0</v>
      </c>
      <c r="AB41" s="104"/>
      <c r="AC41" s="123" t="n">
        <f aca="false">AB41*35%</f>
        <v>0</v>
      </c>
      <c r="AD41" s="104"/>
      <c r="AE41" s="124" t="n">
        <f aca="false">AD41*30%</f>
        <v>0</v>
      </c>
      <c r="AF41" s="107" t="n">
        <f aca="false">ROUND((AA41+AC41+AE41),2)</f>
        <v>0</v>
      </c>
      <c r="AG41" s="131" t="n">
        <f aca="false">VALUE((K41+R41+Y41+AF41)/4)</f>
        <v>0</v>
      </c>
      <c r="AH41" s="108" t="n">
        <f aca="false">ROUND(AG41,1)</f>
        <v>0</v>
      </c>
      <c r="AI41" s="125"/>
      <c r="AJ41" s="110" t="n">
        <f aca="false">IF(AI41&lt;=0,AH41,(AH41+AI41)/2)</f>
        <v>0</v>
      </c>
      <c r="AK41" s="134"/>
      <c r="AL41" s="137"/>
    </row>
    <row r="42" customFormat="false" ht="14.25" hidden="false" customHeight="true" outlineLevel="0" collapsed="false">
      <c r="A42" s="112" t="n">
        <v>34</v>
      </c>
      <c r="B42" s="99"/>
      <c r="C42" s="100"/>
      <c r="D42" s="101"/>
      <c r="E42" s="104"/>
      <c r="F42" s="122" t="n">
        <f aca="false">E42*35%</f>
        <v>0</v>
      </c>
      <c r="G42" s="104"/>
      <c r="H42" s="123" t="n">
        <f aca="false">G42*35%</f>
        <v>0</v>
      </c>
      <c r="I42" s="104"/>
      <c r="J42" s="124" t="n">
        <f aca="false">I42*30%</f>
        <v>0</v>
      </c>
      <c r="K42" s="107" t="n">
        <f aca="false">ROUND((F42+H42+J42),2)</f>
        <v>0</v>
      </c>
      <c r="L42" s="104"/>
      <c r="M42" s="123" t="n">
        <f aca="false">L42*35%</f>
        <v>0</v>
      </c>
      <c r="N42" s="104"/>
      <c r="O42" s="123" t="n">
        <f aca="false">N42*35%</f>
        <v>0</v>
      </c>
      <c r="P42" s="104"/>
      <c r="Q42" s="124" t="n">
        <f aca="false">P42*30%</f>
        <v>0</v>
      </c>
      <c r="R42" s="107" t="n">
        <f aca="false">ROUND((M42+O42+Q42),2)</f>
        <v>0</v>
      </c>
      <c r="S42" s="104"/>
      <c r="T42" s="123" t="n">
        <f aca="false">S42*35%</f>
        <v>0</v>
      </c>
      <c r="U42" s="104"/>
      <c r="V42" s="123" t="n">
        <f aca="false">U42*35%</f>
        <v>0</v>
      </c>
      <c r="W42" s="104"/>
      <c r="X42" s="124" t="n">
        <f aca="false">W42*30%</f>
        <v>0</v>
      </c>
      <c r="Y42" s="107" t="n">
        <f aca="false">ROUND((T42+V42+X42),2)</f>
        <v>0</v>
      </c>
      <c r="Z42" s="104"/>
      <c r="AA42" s="123" t="n">
        <f aca="false">Z42*35%</f>
        <v>0</v>
      </c>
      <c r="AB42" s="104"/>
      <c r="AC42" s="123" t="n">
        <f aca="false">AB42*35%</f>
        <v>0</v>
      </c>
      <c r="AD42" s="104"/>
      <c r="AE42" s="124" t="n">
        <f aca="false">AD42*30%</f>
        <v>0</v>
      </c>
      <c r="AF42" s="107" t="n">
        <f aca="false">ROUND((AA42+AC42+AE42),2)</f>
        <v>0</v>
      </c>
      <c r="AG42" s="131" t="n">
        <f aca="false">VALUE((K42+R42+Y42+AF42)/4)</f>
        <v>0</v>
      </c>
      <c r="AH42" s="108" t="n">
        <f aca="false">ROUND(AG42,1)</f>
        <v>0</v>
      </c>
      <c r="AI42" s="125"/>
      <c r="AJ42" s="110" t="n">
        <f aca="false">IF(AI42&lt;=0,AH42,(AH42+AI42)/2)</f>
        <v>0</v>
      </c>
      <c r="AK42" s="132"/>
      <c r="AL42" s="138" t="str">
        <f aca="false">AJ5</f>
        <v>Grado</v>
      </c>
    </row>
    <row r="43" customFormat="false" ht="14.25" hidden="false" customHeight="true" outlineLevel="0" collapsed="false">
      <c r="A43" s="98" t="n">
        <v>35</v>
      </c>
      <c r="B43" s="99"/>
      <c r="C43" s="100"/>
      <c r="D43" s="101"/>
      <c r="E43" s="104"/>
      <c r="F43" s="122" t="n">
        <f aca="false">E43*35%</f>
        <v>0</v>
      </c>
      <c r="G43" s="104"/>
      <c r="H43" s="123" t="n">
        <f aca="false">G43*35%</f>
        <v>0</v>
      </c>
      <c r="I43" s="104"/>
      <c r="J43" s="124" t="n">
        <f aca="false">I43*30%</f>
        <v>0</v>
      </c>
      <c r="K43" s="107" t="n">
        <f aca="false">ROUND((F43+H43+J43),2)</f>
        <v>0</v>
      </c>
      <c r="L43" s="104"/>
      <c r="M43" s="123" t="n">
        <f aca="false">L43*35%</f>
        <v>0</v>
      </c>
      <c r="N43" s="104"/>
      <c r="O43" s="123" t="n">
        <f aca="false">N43*35%</f>
        <v>0</v>
      </c>
      <c r="P43" s="104"/>
      <c r="Q43" s="124" t="n">
        <f aca="false">P43*30%</f>
        <v>0</v>
      </c>
      <c r="R43" s="107" t="n">
        <f aca="false">ROUND((M43+O43+Q43),2)</f>
        <v>0</v>
      </c>
      <c r="S43" s="104"/>
      <c r="T43" s="123" t="n">
        <f aca="false">S43*35%</f>
        <v>0</v>
      </c>
      <c r="U43" s="104"/>
      <c r="V43" s="123" t="n">
        <f aca="false">U43*35%</f>
        <v>0</v>
      </c>
      <c r="W43" s="104"/>
      <c r="X43" s="124" t="n">
        <f aca="false">W43*30%</f>
        <v>0</v>
      </c>
      <c r="Y43" s="107" t="n">
        <f aca="false">ROUND((T43+V43+X43),2)</f>
        <v>0</v>
      </c>
      <c r="Z43" s="104"/>
      <c r="AA43" s="123" t="n">
        <f aca="false">Z43*35%</f>
        <v>0</v>
      </c>
      <c r="AB43" s="104"/>
      <c r="AC43" s="123" t="n">
        <f aca="false">AB43*35%</f>
        <v>0</v>
      </c>
      <c r="AD43" s="104"/>
      <c r="AE43" s="124" t="n">
        <f aca="false">AD43*30%</f>
        <v>0</v>
      </c>
      <c r="AF43" s="107" t="n">
        <f aca="false">ROUND((AA43+AC43+AE43),2)</f>
        <v>0</v>
      </c>
      <c r="AG43" s="131" t="n">
        <f aca="false">VALUE((K43+R43+Y43+AF43)/4)</f>
        <v>0</v>
      </c>
      <c r="AH43" s="108" t="n">
        <f aca="false">ROUND(AG43,1)</f>
        <v>0</v>
      </c>
      <c r="AI43" s="125"/>
      <c r="AJ43" s="110" t="n">
        <f aca="false">IF(AI43&lt;=0,AH43,(AH43+AI43)/2)</f>
        <v>0</v>
      </c>
      <c r="AK43" s="134"/>
      <c r="AL43" s="138" t="n">
        <f aca="false">A4</f>
        <v>0</v>
      </c>
    </row>
    <row r="44" customFormat="false" ht="14.25" hidden="false" customHeight="true" outlineLevel="0" collapsed="false">
      <c r="A44" s="112" t="n">
        <v>36</v>
      </c>
      <c r="B44" s="99"/>
      <c r="C44" s="100"/>
      <c r="D44" s="101"/>
      <c r="E44" s="104"/>
      <c r="F44" s="122" t="n">
        <f aca="false">E44*35%</f>
        <v>0</v>
      </c>
      <c r="G44" s="104"/>
      <c r="H44" s="123" t="n">
        <f aca="false">G44*35%</f>
        <v>0</v>
      </c>
      <c r="I44" s="104"/>
      <c r="J44" s="124" t="n">
        <f aca="false">I44*30%</f>
        <v>0</v>
      </c>
      <c r="K44" s="107" t="n">
        <f aca="false">ROUND((F44+H44+J44),2)</f>
        <v>0</v>
      </c>
      <c r="L44" s="104"/>
      <c r="M44" s="123" t="n">
        <f aca="false">L44*35%</f>
        <v>0</v>
      </c>
      <c r="N44" s="104"/>
      <c r="O44" s="123" t="n">
        <f aca="false">N44*35%</f>
        <v>0</v>
      </c>
      <c r="P44" s="104"/>
      <c r="Q44" s="124" t="n">
        <f aca="false">P44*30%</f>
        <v>0</v>
      </c>
      <c r="R44" s="107" t="n">
        <f aca="false">ROUND((M44+O44+Q44),2)</f>
        <v>0</v>
      </c>
      <c r="S44" s="104"/>
      <c r="T44" s="123" t="n">
        <f aca="false">S44*35%</f>
        <v>0</v>
      </c>
      <c r="U44" s="104"/>
      <c r="V44" s="123" t="n">
        <f aca="false">U44*35%</f>
        <v>0</v>
      </c>
      <c r="W44" s="104"/>
      <c r="X44" s="124" t="n">
        <f aca="false">W44*30%</f>
        <v>0</v>
      </c>
      <c r="Y44" s="107" t="n">
        <f aca="false">ROUND((T44+V44+X44),2)</f>
        <v>0</v>
      </c>
      <c r="Z44" s="104"/>
      <c r="AA44" s="123" t="n">
        <f aca="false">Z44*35%</f>
        <v>0</v>
      </c>
      <c r="AB44" s="104"/>
      <c r="AC44" s="123" t="n">
        <f aca="false">AB44*35%</f>
        <v>0</v>
      </c>
      <c r="AD44" s="104"/>
      <c r="AE44" s="124" t="n">
        <f aca="false">AD44*30%</f>
        <v>0</v>
      </c>
      <c r="AF44" s="107" t="n">
        <f aca="false">ROUND((AA44+AC44+AE44),2)</f>
        <v>0</v>
      </c>
      <c r="AG44" s="131" t="n">
        <f aca="false">VALUE((K44+R44+Y44+AF44)/4)</f>
        <v>0</v>
      </c>
      <c r="AH44" s="108" t="n">
        <f aca="false">ROUND(AG44,1)</f>
        <v>0</v>
      </c>
      <c r="AI44" s="125"/>
      <c r="AJ44" s="110" t="n">
        <f aca="false">IF(AI44&lt;=0,AH44,(AH44+AI44)/2)</f>
        <v>0</v>
      </c>
      <c r="AK44" s="132"/>
      <c r="AL44" s="138" t="str">
        <f aca="false">H5</f>
        <v>" B "</v>
      </c>
    </row>
    <row r="45" customFormat="false" ht="14.25" hidden="false" customHeight="true" outlineLevel="0" collapsed="false">
      <c r="A45" s="98" t="n">
        <v>37</v>
      </c>
      <c r="B45" s="99"/>
      <c r="C45" s="100"/>
      <c r="D45" s="101"/>
      <c r="E45" s="104"/>
      <c r="F45" s="122" t="n">
        <f aca="false">E45*35%</f>
        <v>0</v>
      </c>
      <c r="G45" s="104"/>
      <c r="H45" s="123" t="n">
        <f aca="false">G45*35%</f>
        <v>0</v>
      </c>
      <c r="I45" s="104"/>
      <c r="J45" s="124" t="n">
        <f aca="false">I45*30%</f>
        <v>0</v>
      </c>
      <c r="K45" s="107" t="n">
        <f aca="false">ROUND((F45+H45+J45),2)</f>
        <v>0</v>
      </c>
      <c r="L45" s="104"/>
      <c r="M45" s="123" t="n">
        <f aca="false">L45*35%</f>
        <v>0</v>
      </c>
      <c r="N45" s="104"/>
      <c r="O45" s="123" t="n">
        <f aca="false">N45*35%</f>
        <v>0</v>
      </c>
      <c r="P45" s="104"/>
      <c r="Q45" s="124" t="n">
        <f aca="false">P45*30%</f>
        <v>0</v>
      </c>
      <c r="R45" s="107" t="n">
        <f aca="false">ROUND((M45+O45+Q45),2)</f>
        <v>0</v>
      </c>
      <c r="S45" s="104"/>
      <c r="T45" s="123" t="n">
        <f aca="false">S45*35%</f>
        <v>0</v>
      </c>
      <c r="U45" s="104"/>
      <c r="V45" s="123" t="n">
        <f aca="false">U45*35%</f>
        <v>0</v>
      </c>
      <c r="W45" s="104"/>
      <c r="X45" s="124" t="n">
        <f aca="false">W45*30%</f>
        <v>0</v>
      </c>
      <c r="Y45" s="107" t="n">
        <f aca="false">ROUND((T45+V45+X45),2)</f>
        <v>0</v>
      </c>
      <c r="Z45" s="104"/>
      <c r="AA45" s="123" t="n">
        <f aca="false">Z45*35%</f>
        <v>0</v>
      </c>
      <c r="AB45" s="104"/>
      <c r="AC45" s="123" t="n">
        <f aca="false">AB45*35%</f>
        <v>0</v>
      </c>
      <c r="AD45" s="104"/>
      <c r="AE45" s="124" t="n">
        <f aca="false">AD45*30%</f>
        <v>0</v>
      </c>
      <c r="AF45" s="107" t="n">
        <f aca="false">ROUND((AA45+AC45+AE45),2)</f>
        <v>0</v>
      </c>
      <c r="AG45" s="131" t="n">
        <f aca="false">VALUE((K45+R45+Y45+AF45)/4)</f>
        <v>0</v>
      </c>
      <c r="AH45" s="108" t="n">
        <f aca="false">ROUND(AG45,1)</f>
        <v>0</v>
      </c>
      <c r="AI45" s="125"/>
      <c r="AJ45" s="110" t="n">
        <f aca="false">IF(AI45&lt;=0,AH45,(AH45+AI45)/2)</f>
        <v>0</v>
      </c>
      <c r="AK45" s="132"/>
      <c r="AL45" s="139"/>
    </row>
    <row r="46" customFormat="false" ht="14.25" hidden="false" customHeight="true" outlineLevel="0" collapsed="false">
      <c r="A46" s="112" t="n">
        <v>38</v>
      </c>
      <c r="B46" s="99"/>
      <c r="C46" s="140"/>
      <c r="D46" s="101"/>
      <c r="E46" s="104"/>
      <c r="F46" s="122" t="n">
        <f aca="false">E46*35%</f>
        <v>0</v>
      </c>
      <c r="G46" s="104"/>
      <c r="H46" s="123" t="n">
        <f aca="false">G46*35%</f>
        <v>0</v>
      </c>
      <c r="I46" s="104"/>
      <c r="J46" s="124" t="n">
        <f aca="false">I46*30%</f>
        <v>0</v>
      </c>
      <c r="K46" s="107" t="n">
        <f aca="false">ROUND((F46+H46+J46),2)</f>
        <v>0</v>
      </c>
      <c r="L46" s="104"/>
      <c r="M46" s="123" t="n">
        <f aca="false">L46*35%</f>
        <v>0</v>
      </c>
      <c r="N46" s="104"/>
      <c r="O46" s="123" t="n">
        <f aca="false">N46*35%</f>
        <v>0</v>
      </c>
      <c r="P46" s="104"/>
      <c r="Q46" s="124" t="n">
        <f aca="false">P46*30%</f>
        <v>0</v>
      </c>
      <c r="R46" s="107" t="n">
        <f aca="false">ROUND((M46+O46+Q46),2)</f>
        <v>0</v>
      </c>
      <c r="S46" s="104"/>
      <c r="T46" s="123" t="n">
        <f aca="false">S46*35%</f>
        <v>0</v>
      </c>
      <c r="U46" s="104"/>
      <c r="V46" s="123" t="n">
        <f aca="false">U46*35%</f>
        <v>0</v>
      </c>
      <c r="W46" s="104"/>
      <c r="X46" s="124" t="n">
        <f aca="false">W46*30%</f>
        <v>0</v>
      </c>
      <c r="Y46" s="107" t="n">
        <f aca="false">ROUND((T46+V46+X46),2)</f>
        <v>0</v>
      </c>
      <c r="Z46" s="104"/>
      <c r="AA46" s="123" t="n">
        <f aca="false">Z46*35%</f>
        <v>0</v>
      </c>
      <c r="AB46" s="104"/>
      <c r="AC46" s="123" t="n">
        <f aca="false">AB46*35%</f>
        <v>0</v>
      </c>
      <c r="AD46" s="104"/>
      <c r="AE46" s="124" t="n">
        <f aca="false">AD46*30%</f>
        <v>0</v>
      </c>
      <c r="AF46" s="107" t="n">
        <f aca="false">ROUND((AA46+AC46+AE46),2)</f>
        <v>0</v>
      </c>
      <c r="AG46" s="131" t="n">
        <f aca="false">VALUE((K46+R46+Y46+AF46)/4)</f>
        <v>0</v>
      </c>
      <c r="AH46" s="108" t="n">
        <f aca="false">ROUND(AG46,1)</f>
        <v>0</v>
      </c>
      <c r="AI46" s="125"/>
      <c r="AJ46" s="110" t="n">
        <f aca="false">IF(AI46&lt;=0,AH46,(AH46+AI46)/2)</f>
        <v>0</v>
      </c>
      <c r="AK46" s="134"/>
      <c r="AL46" s="138" t="str">
        <f aca="false">D1</f>
        <v>AÑO: 2026</v>
      </c>
    </row>
    <row r="47" customFormat="false" ht="14.25" hidden="false" customHeight="true" outlineLevel="0" collapsed="false">
      <c r="A47" s="98" t="n">
        <v>39</v>
      </c>
      <c r="B47" s="99"/>
      <c r="C47" s="140"/>
      <c r="D47" s="101"/>
      <c r="E47" s="141"/>
      <c r="F47" s="122" t="n">
        <f aca="false">E47*35%</f>
        <v>0</v>
      </c>
      <c r="G47" s="142"/>
      <c r="H47" s="123" t="n">
        <f aca="false">G47*35%</f>
        <v>0</v>
      </c>
      <c r="I47" s="142"/>
      <c r="J47" s="124" t="n">
        <f aca="false">I47*30%</f>
        <v>0</v>
      </c>
      <c r="K47" s="107" t="n">
        <f aca="false">ROUND((F47+H47+J47),2)</f>
        <v>0</v>
      </c>
      <c r="L47" s="141"/>
      <c r="M47" s="123" t="n">
        <f aca="false">L47*35%</f>
        <v>0</v>
      </c>
      <c r="N47" s="141"/>
      <c r="O47" s="123" t="n">
        <f aca="false">N47*35%</f>
        <v>0</v>
      </c>
      <c r="P47" s="141"/>
      <c r="Q47" s="124" t="n">
        <f aca="false">P47*30%</f>
        <v>0</v>
      </c>
      <c r="R47" s="107" t="n">
        <f aca="false">ROUND((M47+O47+Q47),2)</f>
        <v>0</v>
      </c>
      <c r="S47" s="141"/>
      <c r="T47" s="123" t="n">
        <f aca="false">S47*35%</f>
        <v>0</v>
      </c>
      <c r="U47" s="141"/>
      <c r="V47" s="123" t="n">
        <f aca="false">U47*35%</f>
        <v>0</v>
      </c>
      <c r="W47" s="141"/>
      <c r="X47" s="124" t="n">
        <f aca="false">W47*30%</f>
        <v>0</v>
      </c>
      <c r="Y47" s="107" t="n">
        <f aca="false">ROUND((T47+V47+X47),2)</f>
        <v>0</v>
      </c>
      <c r="Z47" s="141"/>
      <c r="AA47" s="123" t="n">
        <f aca="false">Z47*35%</f>
        <v>0</v>
      </c>
      <c r="AB47" s="141"/>
      <c r="AC47" s="123" t="n">
        <f aca="false">AB47*35%</f>
        <v>0</v>
      </c>
      <c r="AD47" s="141"/>
      <c r="AE47" s="124" t="n">
        <f aca="false">AD47*30%</f>
        <v>0</v>
      </c>
      <c r="AF47" s="107" t="n">
        <f aca="false">ROUND((AA47+AC47+AE47),2)</f>
        <v>0</v>
      </c>
      <c r="AG47" s="131" t="n">
        <f aca="false">VALUE((K47+R47+Y47+AF47)/4)</f>
        <v>0</v>
      </c>
      <c r="AH47" s="108" t="n">
        <f aca="false">ROUND(AG47,1)</f>
        <v>0</v>
      </c>
      <c r="AI47" s="125"/>
      <c r="AJ47" s="110" t="n">
        <f aca="false">IF(AI47&lt;=0,AH47,(AH47+AI47)/2)</f>
        <v>0</v>
      </c>
      <c r="AK47" s="134"/>
      <c r="AL47" s="139"/>
    </row>
    <row r="48" customFormat="false" ht="14.25" hidden="false" customHeight="true" outlineLevel="0" collapsed="false">
      <c r="A48" s="112" t="n">
        <v>40</v>
      </c>
      <c r="B48" s="99"/>
      <c r="C48" s="100"/>
      <c r="D48" s="101"/>
      <c r="E48" s="141"/>
      <c r="F48" s="122" t="n">
        <f aca="false">E48*35%</f>
        <v>0</v>
      </c>
      <c r="G48" s="142"/>
      <c r="H48" s="123" t="n">
        <f aca="false">G48*35%</f>
        <v>0</v>
      </c>
      <c r="I48" s="142"/>
      <c r="J48" s="124" t="n">
        <f aca="false">I48*30%</f>
        <v>0</v>
      </c>
      <c r="K48" s="107" t="n">
        <f aca="false">ROUND((F48+H48+J48),2)</f>
        <v>0</v>
      </c>
      <c r="L48" s="141"/>
      <c r="M48" s="123" t="n">
        <f aca="false">L48*35%</f>
        <v>0</v>
      </c>
      <c r="N48" s="141"/>
      <c r="O48" s="123" t="n">
        <f aca="false">N48*35%</f>
        <v>0</v>
      </c>
      <c r="P48" s="141"/>
      <c r="Q48" s="124" t="n">
        <f aca="false">P48*30%</f>
        <v>0</v>
      </c>
      <c r="R48" s="107" t="n">
        <f aca="false">ROUND((M48+O48+Q48),2)</f>
        <v>0</v>
      </c>
      <c r="S48" s="141"/>
      <c r="T48" s="123" t="n">
        <f aca="false">S48*35%</f>
        <v>0</v>
      </c>
      <c r="U48" s="141"/>
      <c r="V48" s="123" t="n">
        <f aca="false">U48*35%</f>
        <v>0</v>
      </c>
      <c r="W48" s="141"/>
      <c r="X48" s="124" t="n">
        <f aca="false">W48*30%</f>
        <v>0</v>
      </c>
      <c r="Y48" s="107" t="n">
        <f aca="false">ROUND((T48+V48+X48),2)</f>
        <v>0</v>
      </c>
      <c r="Z48" s="141"/>
      <c r="AA48" s="123" t="n">
        <f aca="false">Z48*35%</f>
        <v>0</v>
      </c>
      <c r="AB48" s="141"/>
      <c r="AC48" s="123" t="n">
        <f aca="false">AB48*35%</f>
        <v>0</v>
      </c>
      <c r="AD48" s="141"/>
      <c r="AE48" s="124" t="n">
        <f aca="false">AD48*30%</f>
        <v>0</v>
      </c>
      <c r="AF48" s="107" t="n">
        <f aca="false">ROUND((AA48+AC48+AE48),2)</f>
        <v>0</v>
      </c>
      <c r="AG48" s="131" t="n">
        <f aca="false">VALUE((K48+R48+Y48+AF48)/4)</f>
        <v>0</v>
      </c>
      <c r="AH48" s="108" t="n">
        <f aca="false">ROUND(AG48,1)</f>
        <v>0</v>
      </c>
      <c r="AI48" s="125"/>
      <c r="AJ48" s="143" t="n">
        <f aca="false">IF(AH48&gt;=5.5,AH48,(AH48+AI48)/2)</f>
        <v>0</v>
      </c>
      <c r="AK48" s="134"/>
      <c r="AL48" s="144" t="str">
        <f aca="false">AA5</f>
        <v>LIDIA CONCEPCION GONZALEZ DE CABALLERO</v>
      </c>
    </row>
    <row r="49" customFormat="false" ht="14.25" hidden="false" customHeight="true" outlineLevel="0" collapsed="false">
      <c r="A49" s="98" t="n">
        <v>41</v>
      </c>
      <c r="B49" s="99"/>
      <c r="C49" s="100"/>
      <c r="D49" s="101"/>
      <c r="E49" s="141"/>
      <c r="F49" s="122" t="n">
        <f aca="false">E49*35%</f>
        <v>0</v>
      </c>
      <c r="G49" s="142"/>
      <c r="H49" s="123" t="n">
        <f aca="false">G49*35%</f>
        <v>0</v>
      </c>
      <c r="I49" s="142"/>
      <c r="J49" s="124" t="n">
        <f aca="false">I49*30%</f>
        <v>0</v>
      </c>
      <c r="K49" s="107" t="n">
        <f aca="false">ROUND((F49+H49+J49),2)</f>
        <v>0</v>
      </c>
      <c r="L49" s="141"/>
      <c r="M49" s="123" t="n">
        <f aca="false">L49*35%</f>
        <v>0</v>
      </c>
      <c r="N49" s="141"/>
      <c r="O49" s="123" t="n">
        <f aca="false">N49*35%</f>
        <v>0</v>
      </c>
      <c r="P49" s="141"/>
      <c r="Q49" s="124" t="n">
        <f aca="false">P49*30%</f>
        <v>0</v>
      </c>
      <c r="R49" s="107" t="n">
        <f aca="false">ROUND((M49+O49+Q49),2)</f>
        <v>0</v>
      </c>
      <c r="S49" s="141"/>
      <c r="T49" s="123" t="n">
        <f aca="false">S49*35%</f>
        <v>0</v>
      </c>
      <c r="U49" s="141"/>
      <c r="V49" s="123" t="n">
        <f aca="false">U49*35%</f>
        <v>0</v>
      </c>
      <c r="W49" s="141"/>
      <c r="X49" s="124" t="n">
        <f aca="false">W49*30%</f>
        <v>0</v>
      </c>
      <c r="Y49" s="107" t="n">
        <f aca="false">ROUND((T49+V49+X49),2)</f>
        <v>0</v>
      </c>
      <c r="Z49" s="141"/>
      <c r="AA49" s="123" t="n">
        <f aca="false">Z49*35%</f>
        <v>0</v>
      </c>
      <c r="AB49" s="141"/>
      <c r="AC49" s="123" t="n">
        <f aca="false">AB49*35%</f>
        <v>0</v>
      </c>
      <c r="AD49" s="141"/>
      <c r="AE49" s="124" t="n">
        <f aca="false">AD49*30%</f>
        <v>0</v>
      </c>
      <c r="AF49" s="107" t="n">
        <f aca="false">ROUND((AA49+AC49+AE49),2)</f>
        <v>0</v>
      </c>
      <c r="AG49" s="131" t="n">
        <f aca="false">VALUE((K49+R49+Y49+AF49)/4)</f>
        <v>0</v>
      </c>
      <c r="AH49" s="108" t="n">
        <f aca="false">ROUND(AG49,1)</f>
        <v>0</v>
      </c>
      <c r="AI49" s="125"/>
      <c r="AJ49" s="143" t="n">
        <f aca="false">IF(AH49&gt;=5.5,AH49,(AH49+AI49)/2)</f>
        <v>0</v>
      </c>
      <c r="AK49" s="132"/>
      <c r="AL49" s="138"/>
    </row>
    <row r="50" customFormat="false" ht="14.25" hidden="false" customHeight="true" outlineLevel="0" collapsed="false">
      <c r="A50" s="112" t="n">
        <v>42</v>
      </c>
      <c r="B50" s="99"/>
      <c r="C50" s="100"/>
      <c r="D50" s="101"/>
      <c r="E50" s="141"/>
      <c r="F50" s="122" t="n">
        <f aca="false">E50*35%</f>
        <v>0</v>
      </c>
      <c r="G50" s="142"/>
      <c r="H50" s="123" t="n">
        <f aca="false">G50*35%</f>
        <v>0</v>
      </c>
      <c r="I50" s="142"/>
      <c r="J50" s="124" t="n">
        <f aca="false">I50*30%</f>
        <v>0</v>
      </c>
      <c r="K50" s="107" t="n">
        <f aca="false">ROUND((F50+H50+J50),2)</f>
        <v>0</v>
      </c>
      <c r="L50" s="141"/>
      <c r="M50" s="123" t="n">
        <f aca="false">L50*35%</f>
        <v>0</v>
      </c>
      <c r="N50" s="141"/>
      <c r="O50" s="123" t="n">
        <f aca="false">N50*35%</f>
        <v>0</v>
      </c>
      <c r="P50" s="141"/>
      <c r="Q50" s="124" t="n">
        <f aca="false">P50*30%</f>
        <v>0</v>
      </c>
      <c r="R50" s="107" t="n">
        <f aca="false">ROUND((M50+O50+Q50),2)</f>
        <v>0</v>
      </c>
      <c r="S50" s="141"/>
      <c r="T50" s="123" t="n">
        <f aca="false">S50*35%</f>
        <v>0</v>
      </c>
      <c r="U50" s="141"/>
      <c r="V50" s="123" t="n">
        <f aca="false">U50*35%</f>
        <v>0</v>
      </c>
      <c r="W50" s="141"/>
      <c r="X50" s="124" t="n">
        <f aca="false">W50*30%</f>
        <v>0</v>
      </c>
      <c r="Y50" s="107" t="n">
        <f aca="false">ROUND((T50+V50+X50),2)</f>
        <v>0</v>
      </c>
      <c r="Z50" s="141"/>
      <c r="AA50" s="123" t="n">
        <f aca="false">Z50*35%</f>
        <v>0</v>
      </c>
      <c r="AB50" s="141"/>
      <c r="AC50" s="123" t="n">
        <f aca="false">AB50*35%</f>
        <v>0</v>
      </c>
      <c r="AD50" s="141"/>
      <c r="AE50" s="124" t="n">
        <f aca="false">AD50*30%</f>
        <v>0</v>
      </c>
      <c r="AF50" s="107" t="n">
        <f aca="false">ROUND((AA50+AC50+AE50),2)</f>
        <v>0</v>
      </c>
      <c r="AG50" s="131" t="n">
        <f aca="false">VALUE((K50+R50+Y50+AF50)/4)</f>
        <v>0</v>
      </c>
      <c r="AH50" s="108" t="n">
        <f aca="false">ROUND(AG50,1)</f>
        <v>0</v>
      </c>
      <c r="AI50" s="125"/>
      <c r="AJ50" s="143" t="n">
        <f aca="false">IF(AH50&gt;=5.5,AH50,(AH50+AI50)/2)</f>
        <v>0</v>
      </c>
      <c r="AK50" s="132"/>
      <c r="AL50" s="145"/>
    </row>
    <row r="51" customFormat="false" ht="14.25" hidden="false" customHeight="true" outlineLevel="0" collapsed="false">
      <c r="A51" s="98" t="n">
        <v>43</v>
      </c>
      <c r="B51" s="99"/>
      <c r="C51" s="100"/>
      <c r="D51" s="101"/>
      <c r="E51" s="141"/>
      <c r="F51" s="122" t="n">
        <f aca="false">E51*35%</f>
        <v>0</v>
      </c>
      <c r="G51" s="142"/>
      <c r="H51" s="123" t="n">
        <f aca="false">G51*35%</f>
        <v>0</v>
      </c>
      <c r="I51" s="142"/>
      <c r="J51" s="124" t="n">
        <f aca="false">I51*30%</f>
        <v>0</v>
      </c>
      <c r="K51" s="107" t="n">
        <f aca="false">ROUND((F51+H51+J51),2)</f>
        <v>0</v>
      </c>
      <c r="L51" s="141"/>
      <c r="M51" s="123" t="n">
        <f aca="false">L51*35%</f>
        <v>0</v>
      </c>
      <c r="N51" s="141"/>
      <c r="O51" s="123" t="n">
        <f aca="false">N51*35%</f>
        <v>0</v>
      </c>
      <c r="P51" s="141"/>
      <c r="Q51" s="124" t="n">
        <f aca="false">P51*30%</f>
        <v>0</v>
      </c>
      <c r="R51" s="107" t="n">
        <f aca="false">ROUND((M51+O51+Q51),2)</f>
        <v>0</v>
      </c>
      <c r="S51" s="141"/>
      <c r="T51" s="123" t="n">
        <f aca="false">S51*35%</f>
        <v>0</v>
      </c>
      <c r="U51" s="141"/>
      <c r="V51" s="123" t="n">
        <f aca="false">U51*35%</f>
        <v>0</v>
      </c>
      <c r="W51" s="141"/>
      <c r="X51" s="124" t="n">
        <f aca="false">W51*30%</f>
        <v>0</v>
      </c>
      <c r="Y51" s="107" t="n">
        <f aca="false">ROUND((T51+V51+X51),2)</f>
        <v>0</v>
      </c>
      <c r="Z51" s="141"/>
      <c r="AA51" s="123" t="n">
        <f aca="false">Z51*35%</f>
        <v>0</v>
      </c>
      <c r="AB51" s="141"/>
      <c r="AC51" s="123" t="n">
        <f aca="false">AB51*35%</f>
        <v>0</v>
      </c>
      <c r="AD51" s="141"/>
      <c r="AE51" s="124" t="n">
        <f aca="false">AD51*30%</f>
        <v>0</v>
      </c>
      <c r="AF51" s="107" t="n">
        <f aca="false">ROUND((AA51+AC51+AE51),2)</f>
        <v>0</v>
      </c>
      <c r="AG51" s="131" t="n">
        <f aca="false">VALUE((K51+R51+Y51+AF51)/4)</f>
        <v>0</v>
      </c>
      <c r="AH51" s="108" t="n">
        <f aca="false">ROUND(AG51,1)</f>
        <v>0</v>
      </c>
      <c r="AI51" s="125"/>
      <c r="AJ51" s="143" t="n">
        <f aca="false">IF(AH51&gt;=5.5,AH51,(AH51+AI51)/2)</f>
        <v>0</v>
      </c>
      <c r="AK51" s="132"/>
      <c r="AL51" s="12"/>
    </row>
    <row r="52" customFormat="false" ht="14.25" hidden="false" customHeight="true" outlineLevel="0" collapsed="false">
      <c r="A52" s="112" t="n">
        <v>44</v>
      </c>
      <c r="B52" s="99"/>
      <c r="C52" s="100"/>
      <c r="D52" s="101"/>
      <c r="E52" s="141"/>
      <c r="F52" s="122" t="n">
        <f aca="false">E52*35%</f>
        <v>0</v>
      </c>
      <c r="G52" s="142"/>
      <c r="H52" s="123" t="n">
        <f aca="false">G52*35%</f>
        <v>0</v>
      </c>
      <c r="I52" s="142"/>
      <c r="J52" s="124" t="n">
        <f aca="false">I52*30%</f>
        <v>0</v>
      </c>
      <c r="K52" s="107" t="n">
        <f aca="false">ROUND((F52+H52+J52),2)</f>
        <v>0</v>
      </c>
      <c r="L52" s="141"/>
      <c r="M52" s="123" t="n">
        <f aca="false">L52*35%</f>
        <v>0</v>
      </c>
      <c r="N52" s="141"/>
      <c r="O52" s="123" t="n">
        <f aca="false">N52*35%</f>
        <v>0</v>
      </c>
      <c r="P52" s="141"/>
      <c r="Q52" s="124" t="n">
        <f aca="false">P52*30%</f>
        <v>0</v>
      </c>
      <c r="R52" s="107" t="n">
        <f aca="false">ROUND((M52+O52+Q52),2)</f>
        <v>0</v>
      </c>
      <c r="S52" s="141"/>
      <c r="T52" s="123" t="n">
        <f aca="false">S52*35%</f>
        <v>0</v>
      </c>
      <c r="U52" s="141"/>
      <c r="V52" s="123" t="n">
        <f aca="false">U52*35%</f>
        <v>0</v>
      </c>
      <c r="W52" s="141"/>
      <c r="X52" s="124" t="n">
        <f aca="false">W52*30%</f>
        <v>0</v>
      </c>
      <c r="Y52" s="107" t="n">
        <f aca="false">ROUND((T52+V52+X52),2)</f>
        <v>0</v>
      </c>
      <c r="Z52" s="141"/>
      <c r="AA52" s="123" t="n">
        <f aca="false">Z52*35%</f>
        <v>0</v>
      </c>
      <c r="AB52" s="141"/>
      <c r="AC52" s="123" t="n">
        <f aca="false">AB52*35%</f>
        <v>0</v>
      </c>
      <c r="AD52" s="141"/>
      <c r="AE52" s="124" t="n">
        <f aca="false">AD52*30%</f>
        <v>0</v>
      </c>
      <c r="AF52" s="107" t="n">
        <f aca="false">ROUND((AA52+AC52+AE52),2)</f>
        <v>0</v>
      </c>
      <c r="AG52" s="131" t="n">
        <f aca="false">VALUE((K52+R52+Y52+AF52)/4)</f>
        <v>0</v>
      </c>
      <c r="AH52" s="108" t="n">
        <f aca="false">ROUND(AG52,1)</f>
        <v>0</v>
      </c>
      <c r="AI52" s="125"/>
      <c r="AJ52" s="143" t="n">
        <f aca="false">IF(AH52&gt;=5.5,AH52,(AH52+AI52)/2)</f>
        <v>0</v>
      </c>
      <c r="AK52" s="132"/>
      <c r="AL52" s="12"/>
    </row>
    <row r="53" customFormat="false" ht="14.25" hidden="false" customHeight="true" outlineLevel="0" collapsed="false">
      <c r="A53" s="98" t="n">
        <v>45</v>
      </c>
      <c r="B53" s="99"/>
      <c r="C53" s="100"/>
      <c r="D53" s="101"/>
      <c r="E53" s="141"/>
      <c r="F53" s="122" t="n">
        <f aca="false">E53*35%</f>
        <v>0</v>
      </c>
      <c r="G53" s="142"/>
      <c r="H53" s="123" t="n">
        <f aca="false">G53*35%</f>
        <v>0</v>
      </c>
      <c r="I53" s="142"/>
      <c r="J53" s="124" t="n">
        <f aca="false">I53*30%</f>
        <v>0</v>
      </c>
      <c r="K53" s="107" t="n">
        <f aca="false">ROUND((F53+H53+J53),2)</f>
        <v>0</v>
      </c>
      <c r="L53" s="141"/>
      <c r="M53" s="123" t="n">
        <f aca="false">L53*35%</f>
        <v>0</v>
      </c>
      <c r="N53" s="141"/>
      <c r="O53" s="123" t="n">
        <f aca="false">N53*35%</f>
        <v>0</v>
      </c>
      <c r="P53" s="141"/>
      <c r="Q53" s="124" t="n">
        <f aca="false">P53*30%</f>
        <v>0</v>
      </c>
      <c r="R53" s="107" t="n">
        <f aca="false">ROUND((M53+O53+Q53),2)</f>
        <v>0</v>
      </c>
      <c r="S53" s="141"/>
      <c r="T53" s="123" t="n">
        <f aca="false">S53*35%</f>
        <v>0</v>
      </c>
      <c r="U53" s="141"/>
      <c r="V53" s="123" t="n">
        <f aca="false">U53*35%</f>
        <v>0</v>
      </c>
      <c r="W53" s="141"/>
      <c r="X53" s="124" t="n">
        <f aca="false">W53*30%</f>
        <v>0</v>
      </c>
      <c r="Y53" s="107" t="n">
        <f aca="false">ROUND((T53+V53+X53),2)</f>
        <v>0</v>
      </c>
      <c r="Z53" s="141"/>
      <c r="AA53" s="123" t="n">
        <f aca="false">Z53*35%</f>
        <v>0</v>
      </c>
      <c r="AB53" s="141"/>
      <c r="AC53" s="123" t="n">
        <f aca="false">AB53*35%</f>
        <v>0</v>
      </c>
      <c r="AD53" s="141"/>
      <c r="AE53" s="124" t="n">
        <f aca="false">AD53*30%</f>
        <v>0</v>
      </c>
      <c r="AF53" s="107" t="n">
        <f aca="false">ROUND((AA53+AC53+AE53),2)</f>
        <v>0</v>
      </c>
      <c r="AG53" s="131" t="n">
        <f aca="false">VALUE((K53+R53+Y53+AF53)/4)</f>
        <v>0</v>
      </c>
      <c r="AH53" s="108" t="n">
        <f aca="false">ROUND(AG53,1)</f>
        <v>0</v>
      </c>
      <c r="AI53" s="125"/>
      <c r="AJ53" s="143" t="n">
        <f aca="false">IF(AH53&gt;=5.5,AH53,(AH53+AI53)/2)</f>
        <v>0</v>
      </c>
      <c r="AK53" s="132"/>
      <c r="AL53" s="12"/>
    </row>
    <row r="54" customFormat="false" ht="14.25" hidden="false" customHeight="true" outlineLevel="0" collapsed="false">
      <c r="A54" s="112" t="n">
        <v>46</v>
      </c>
      <c r="B54" s="146"/>
      <c r="C54" s="147"/>
      <c r="D54" s="148"/>
      <c r="E54" s="141"/>
      <c r="F54" s="122" t="n">
        <f aca="false">E54*35%</f>
        <v>0</v>
      </c>
      <c r="G54" s="142"/>
      <c r="H54" s="123" t="n">
        <f aca="false">G54*35%</f>
        <v>0</v>
      </c>
      <c r="I54" s="142"/>
      <c r="J54" s="124" t="n">
        <f aca="false">I54*30%</f>
        <v>0</v>
      </c>
      <c r="K54" s="107" t="n">
        <f aca="false">ROUND((F54+H54+J54),2)</f>
        <v>0</v>
      </c>
      <c r="L54" s="141"/>
      <c r="M54" s="123" t="n">
        <f aca="false">L54*35%</f>
        <v>0</v>
      </c>
      <c r="N54" s="141"/>
      <c r="O54" s="123" t="n">
        <f aca="false">N54*35%</f>
        <v>0</v>
      </c>
      <c r="P54" s="141"/>
      <c r="Q54" s="124" t="n">
        <f aca="false">P54*30%</f>
        <v>0</v>
      </c>
      <c r="R54" s="107" t="n">
        <f aca="false">ROUND((M54+O54+Q54),2)</f>
        <v>0</v>
      </c>
      <c r="S54" s="141"/>
      <c r="T54" s="123" t="n">
        <f aca="false">S54*35%</f>
        <v>0</v>
      </c>
      <c r="U54" s="141"/>
      <c r="V54" s="123" t="n">
        <f aca="false">U54*35%</f>
        <v>0</v>
      </c>
      <c r="W54" s="141"/>
      <c r="X54" s="124" t="n">
        <f aca="false">W54*30%</f>
        <v>0</v>
      </c>
      <c r="Y54" s="107" t="n">
        <f aca="false">ROUND((T54+V54+X54),2)</f>
        <v>0</v>
      </c>
      <c r="Z54" s="141"/>
      <c r="AA54" s="123" t="n">
        <f aca="false">Z54*35%</f>
        <v>0</v>
      </c>
      <c r="AB54" s="141"/>
      <c r="AC54" s="123" t="n">
        <f aca="false">AB54*35%</f>
        <v>0</v>
      </c>
      <c r="AD54" s="141"/>
      <c r="AE54" s="124" t="n">
        <f aca="false">AD54*30%</f>
        <v>0</v>
      </c>
      <c r="AF54" s="107" t="n">
        <f aca="false">ROUND((AA54+AC54+AE54),2)</f>
        <v>0</v>
      </c>
      <c r="AG54" s="131" t="n">
        <f aca="false">VALUE((K54+R54+Y54+AF54)/4)</f>
        <v>0</v>
      </c>
      <c r="AH54" s="108" t="n">
        <f aca="false">ROUND(AG54,1)</f>
        <v>0</v>
      </c>
      <c r="AI54" s="125"/>
      <c r="AJ54" s="143" t="n">
        <f aca="false">IF(AH54&gt;=5.5,AH54,(AH54+AI54)/2)</f>
        <v>0</v>
      </c>
      <c r="AK54" s="132"/>
      <c r="AL54" s="12"/>
    </row>
    <row r="55" customFormat="false" ht="14.25" hidden="false" customHeight="true" outlineLevel="0" collapsed="false">
      <c r="A55" s="98" t="n">
        <v>47</v>
      </c>
      <c r="B55" s="146"/>
      <c r="C55" s="149"/>
      <c r="D55" s="148"/>
      <c r="E55" s="141"/>
      <c r="F55" s="122" t="n">
        <f aca="false">E55*35%</f>
        <v>0</v>
      </c>
      <c r="G55" s="142"/>
      <c r="H55" s="123" t="n">
        <f aca="false">G55*35%</f>
        <v>0</v>
      </c>
      <c r="I55" s="142"/>
      <c r="J55" s="124" t="n">
        <f aca="false">I55*30%</f>
        <v>0</v>
      </c>
      <c r="K55" s="107" t="n">
        <f aca="false">ROUND((F55+H55+J55),2)</f>
        <v>0</v>
      </c>
      <c r="L55" s="141"/>
      <c r="M55" s="123" t="n">
        <f aca="false">L55*35%</f>
        <v>0</v>
      </c>
      <c r="N55" s="141"/>
      <c r="O55" s="123" t="n">
        <f aca="false">N55*35%</f>
        <v>0</v>
      </c>
      <c r="P55" s="141"/>
      <c r="Q55" s="124" t="n">
        <f aca="false">P55*30%</f>
        <v>0</v>
      </c>
      <c r="R55" s="107" t="n">
        <f aca="false">ROUND((M55+O55+Q55),2)</f>
        <v>0</v>
      </c>
      <c r="S55" s="141"/>
      <c r="T55" s="123" t="n">
        <f aca="false">S55*35%</f>
        <v>0</v>
      </c>
      <c r="U55" s="141"/>
      <c r="V55" s="123" t="n">
        <f aca="false">U55*35%</f>
        <v>0</v>
      </c>
      <c r="W55" s="141"/>
      <c r="X55" s="124" t="n">
        <f aca="false">W55*30%</f>
        <v>0</v>
      </c>
      <c r="Y55" s="107" t="n">
        <f aca="false">ROUND((T55+V55+X55),2)</f>
        <v>0</v>
      </c>
      <c r="Z55" s="141"/>
      <c r="AA55" s="123" t="n">
        <f aca="false">Z55*35%</f>
        <v>0</v>
      </c>
      <c r="AB55" s="141"/>
      <c r="AC55" s="123" t="n">
        <f aca="false">AB55*35%</f>
        <v>0</v>
      </c>
      <c r="AD55" s="141"/>
      <c r="AE55" s="124" t="n">
        <f aca="false">AD55*30%</f>
        <v>0</v>
      </c>
      <c r="AF55" s="107" t="n">
        <f aca="false">ROUND((AA55+AC55+AE55),2)</f>
        <v>0</v>
      </c>
      <c r="AG55" s="131" t="n">
        <f aca="false">VALUE((K55+R55+Y55+AF55)/4)</f>
        <v>0</v>
      </c>
      <c r="AH55" s="108" t="n">
        <f aca="false">ROUND(AG55,1)</f>
        <v>0</v>
      </c>
      <c r="AI55" s="125"/>
      <c r="AJ55" s="143" t="n">
        <f aca="false">IF(AH55&gt;=5.5,AH55,(AH55+AI55)/2)</f>
        <v>0</v>
      </c>
      <c r="AK55" s="132"/>
      <c r="AL55" s="12"/>
    </row>
    <row r="56" customFormat="false" ht="14.25" hidden="false" customHeight="true" outlineLevel="0" collapsed="false">
      <c r="A56" s="112" t="n">
        <v>48</v>
      </c>
      <c r="B56" s="146"/>
      <c r="C56" s="150"/>
      <c r="D56" s="148"/>
      <c r="E56" s="141"/>
      <c r="F56" s="122" t="n">
        <f aca="false">E56*35%</f>
        <v>0</v>
      </c>
      <c r="G56" s="142"/>
      <c r="H56" s="123" t="n">
        <f aca="false">G56*35%</f>
        <v>0</v>
      </c>
      <c r="I56" s="142"/>
      <c r="J56" s="124" t="n">
        <f aca="false">I56*30%</f>
        <v>0</v>
      </c>
      <c r="K56" s="107" t="n">
        <f aca="false">ROUND((F56+H56+J56),2)</f>
        <v>0</v>
      </c>
      <c r="L56" s="141"/>
      <c r="M56" s="123" t="n">
        <f aca="false">L56*35%</f>
        <v>0</v>
      </c>
      <c r="N56" s="141"/>
      <c r="O56" s="123" t="n">
        <f aca="false">N56*35%</f>
        <v>0</v>
      </c>
      <c r="P56" s="141"/>
      <c r="Q56" s="124" t="n">
        <f aca="false">P56*30%</f>
        <v>0</v>
      </c>
      <c r="R56" s="107" t="n">
        <f aca="false">ROUND((M56+O56+Q56),2)</f>
        <v>0</v>
      </c>
      <c r="S56" s="141"/>
      <c r="T56" s="123" t="n">
        <f aca="false">S56*35%</f>
        <v>0</v>
      </c>
      <c r="U56" s="141"/>
      <c r="V56" s="123" t="n">
        <f aca="false">U56*35%</f>
        <v>0</v>
      </c>
      <c r="W56" s="141"/>
      <c r="X56" s="124" t="n">
        <f aca="false">W56*30%</f>
        <v>0</v>
      </c>
      <c r="Y56" s="107" t="n">
        <f aca="false">ROUND((T56+V56+X56),2)</f>
        <v>0</v>
      </c>
      <c r="Z56" s="141"/>
      <c r="AA56" s="123" t="n">
        <f aca="false">Z56*35%</f>
        <v>0</v>
      </c>
      <c r="AB56" s="141"/>
      <c r="AC56" s="123" t="n">
        <f aca="false">AB56*35%</f>
        <v>0</v>
      </c>
      <c r="AD56" s="141"/>
      <c r="AE56" s="124" t="n">
        <f aca="false">AD56*30%</f>
        <v>0</v>
      </c>
      <c r="AF56" s="107" t="n">
        <f aca="false">ROUND((AA56+AC56+AE56),2)</f>
        <v>0</v>
      </c>
      <c r="AG56" s="131" t="n">
        <f aca="false">VALUE((K56+R56+Y56+AF56)/4)</f>
        <v>0</v>
      </c>
      <c r="AH56" s="108" t="n">
        <f aca="false">ROUND(AG56,1)</f>
        <v>0</v>
      </c>
      <c r="AI56" s="125"/>
      <c r="AJ56" s="143" t="n">
        <f aca="false">IF(AH56&gt;=5.5,AH56,(AH56+AI56)/2)</f>
        <v>0</v>
      </c>
      <c r="AK56" s="132"/>
      <c r="AL56" s="12"/>
    </row>
    <row r="57" customFormat="false" ht="14.25" hidden="false" customHeight="true" outlineLevel="0" collapsed="false">
      <c r="A57" s="98" t="n">
        <v>49</v>
      </c>
      <c r="B57" s="146"/>
      <c r="C57" s="149"/>
      <c r="D57" s="148"/>
      <c r="E57" s="141"/>
      <c r="F57" s="122" t="n">
        <f aca="false">E57*35%</f>
        <v>0</v>
      </c>
      <c r="G57" s="142"/>
      <c r="H57" s="123" t="n">
        <f aca="false">G57*35%</f>
        <v>0</v>
      </c>
      <c r="I57" s="142"/>
      <c r="J57" s="124" t="n">
        <f aca="false">I57*30%</f>
        <v>0</v>
      </c>
      <c r="K57" s="107" t="n">
        <f aca="false">ROUND((F57+H57+J57),2)</f>
        <v>0</v>
      </c>
      <c r="L57" s="141"/>
      <c r="M57" s="123" t="n">
        <f aca="false">L57*35%</f>
        <v>0</v>
      </c>
      <c r="N57" s="141"/>
      <c r="O57" s="123" t="n">
        <f aca="false">N57*35%</f>
        <v>0</v>
      </c>
      <c r="P57" s="141"/>
      <c r="Q57" s="124" t="n">
        <f aca="false">P57*30%</f>
        <v>0</v>
      </c>
      <c r="R57" s="107" t="n">
        <f aca="false">ROUND((M57+O57+Q57),2)</f>
        <v>0</v>
      </c>
      <c r="S57" s="141"/>
      <c r="T57" s="123" t="n">
        <f aca="false">S57*35%</f>
        <v>0</v>
      </c>
      <c r="U57" s="141"/>
      <c r="V57" s="123" t="n">
        <f aca="false">U57*35%</f>
        <v>0</v>
      </c>
      <c r="W57" s="141"/>
      <c r="X57" s="124" t="n">
        <f aca="false">W57*30%</f>
        <v>0</v>
      </c>
      <c r="Y57" s="107" t="n">
        <f aca="false">ROUND((T57+V57+X57),2)</f>
        <v>0</v>
      </c>
      <c r="Z57" s="141"/>
      <c r="AA57" s="123" t="n">
        <f aca="false">Z57*35%</f>
        <v>0</v>
      </c>
      <c r="AB57" s="141"/>
      <c r="AC57" s="123" t="n">
        <f aca="false">AB57*35%</f>
        <v>0</v>
      </c>
      <c r="AD57" s="141"/>
      <c r="AE57" s="124" t="n">
        <f aca="false">AD57*30%</f>
        <v>0</v>
      </c>
      <c r="AF57" s="107" t="n">
        <f aca="false">ROUND((AA57+AC57+AE57),2)</f>
        <v>0</v>
      </c>
      <c r="AG57" s="131" t="n">
        <f aca="false">VALUE((K57+R57+Y57+AF57)/4)</f>
        <v>0</v>
      </c>
      <c r="AH57" s="108" t="n">
        <f aca="false">ROUND(AG57,1)</f>
        <v>0</v>
      </c>
      <c r="AI57" s="151"/>
      <c r="AJ57" s="143" t="n">
        <f aca="false">IF(AH57&gt;=5.5,AH57,(AH57+AI57)/2)</f>
        <v>0</v>
      </c>
      <c r="AK57" s="152"/>
      <c r="AL57" s="12"/>
    </row>
    <row r="58" customFormat="false" ht="14.25" hidden="false" customHeight="true" outlineLevel="0" collapsed="false">
      <c r="A58" s="112" t="n">
        <v>50</v>
      </c>
      <c r="B58" s="146"/>
      <c r="C58" s="149"/>
      <c r="D58" s="148"/>
      <c r="E58" s="141"/>
      <c r="F58" s="122" t="n">
        <f aca="false">E58*35%</f>
        <v>0</v>
      </c>
      <c r="G58" s="142"/>
      <c r="H58" s="123" t="n">
        <f aca="false">G58*35%</f>
        <v>0</v>
      </c>
      <c r="I58" s="142"/>
      <c r="J58" s="124" t="n">
        <f aca="false">I58*30%</f>
        <v>0</v>
      </c>
      <c r="K58" s="107" t="n">
        <f aca="false">ROUND((F58+H58+J58),2)</f>
        <v>0</v>
      </c>
      <c r="L58" s="141"/>
      <c r="M58" s="123" t="n">
        <f aca="false">L58*35%</f>
        <v>0</v>
      </c>
      <c r="N58" s="141"/>
      <c r="O58" s="123" t="n">
        <f aca="false">N58*35%</f>
        <v>0</v>
      </c>
      <c r="P58" s="141"/>
      <c r="Q58" s="124" t="n">
        <f aca="false">P58*30%</f>
        <v>0</v>
      </c>
      <c r="R58" s="107" t="n">
        <f aca="false">ROUND((M58+O58+Q58),2)</f>
        <v>0</v>
      </c>
      <c r="S58" s="141"/>
      <c r="T58" s="123" t="n">
        <f aca="false">S58*35%</f>
        <v>0</v>
      </c>
      <c r="U58" s="141"/>
      <c r="V58" s="123" t="n">
        <f aca="false">U58*35%</f>
        <v>0</v>
      </c>
      <c r="W58" s="141"/>
      <c r="X58" s="124" t="n">
        <f aca="false">W58*30%</f>
        <v>0</v>
      </c>
      <c r="Y58" s="107" t="n">
        <f aca="false">ROUND((T58+V58+X58),2)</f>
        <v>0</v>
      </c>
      <c r="Z58" s="141"/>
      <c r="AA58" s="123" t="n">
        <f aca="false">Z58*35%</f>
        <v>0</v>
      </c>
      <c r="AB58" s="141"/>
      <c r="AC58" s="123" t="n">
        <f aca="false">AB58*35%</f>
        <v>0</v>
      </c>
      <c r="AD58" s="141"/>
      <c r="AE58" s="124" t="n">
        <f aca="false">AD58*30%</f>
        <v>0</v>
      </c>
      <c r="AF58" s="107" t="n">
        <f aca="false">ROUND((AA58+AC58+AE58),2)</f>
        <v>0</v>
      </c>
      <c r="AG58" s="131" t="n">
        <f aca="false">VALUE((K58+R58+Y58+AF58)/4)</f>
        <v>0</v>
      </c>
      <c r="AH58" s="108" t="n">
        <f aca="false">ROUND(AG58,1)</f>
        <v>0</v>
      </c>
      <c r="AI58" s="125"/>
      <c r="AJ58" s="143" t="n">
        <f aca="false">IF(AH58&gt;=5.5,AH58,(AH58+AI58)/2)</f>
        <v>0</v>
      </c>
      <c r="AK58" s="132"/>
      <c r="AL58" s="7"/>
    </row>
    <row r="59" customFormat="false" ht="14.25" hidden="false" customHeight="true" outlineLevel="0" collapsed="false">
      <c r="A59" s="98" t="n">
        <v>51</v>
      </c>
      <c r="B59" s="146"/>
      <c r="C59" s="149"/>
      <c r="D59" s="148"/>
      <c r="E59" s="141"/>
      <c r="F59" s="122" t="n">
        <f aca="false">E59*35%</f>
        <v>0</v>
      </c>
      <c r="G59" s="142"/>
      <c r="H59" s="123" t="n">
        <f aca="false">G59*35%</f>
        <v>0</v>
      </c>
      <c r="I59" s="142"/>
      <c r="J59" s="124" t="n">
        <f aca="false">I59*30%</f>
        <v>0</v>
      </c>
      <c r="K59" s="107" t="n">
        <f aca="false">ROUND((F59+H59+J59),2)</f>
        <v>0</v>
      </c>
      <c r="L59" s="141"/>
      <c r="M59" s="123" t="n">
        <f aca="false">L59*35%</f>
        <v>0</v>
      </c>
      <c r="N59" s="141"/>
      <c r="O59" s="123" t="n">
        <f aca="false">N59*35%</f>
        <v>0</v>
      </c>
      <c r="P59" s="141"/>
      <c r="Q59" s="124" t="n">
        <f aca="false">P59*30%</f>
        <v>0</v>
      </c>
      <c r="R59" s="107" t="n">
        <f aca="false">ROUND((M59+O59+Q59),2)</f>
        <v>0</v>
      </c>
      <c r="S59" s="141"/>
      <c r="T59" s="123" t="n">
        <f aca="false">S59*35%</f>
        <v>0</v>
      </c>
      <c r="U59" s="141"/>
      <c r="V59" s="123" t="n">
        <f aca="false">U59*35%</f>
        <v>0</v>
      </c>
      <c r="W59" s="141"/>
      <c r="X59" s="124" t="n">
        <f aca="false">W59*30%</f>
        <v>0</v>
      </c>
      <c r="Y59" s="107" t="n">
        <f aca="false">ROUND((T59+V59+X59),2)</f>
        <v>0</v>
      </c>
      <c r="Z59" s="141"/>
      <c r="AA59" s="123" t="n">
        <f aca="false">Z59*35%</f>
        <v>0</v>
      </c>
      <c r="AB59" s="141"/>
      <c r="AC59" s="123" t="n">
        <f aca="false">AB59*35%</f>
        <v>0</v>
      </c>
      <c r="AD59" s="141"/>
      <c r="AE59" s="124" t="n">
        <f aca="false">AD59*30%</f>
        <v>0</v>
      </c>
      <c r="AF59" s="107" t="n">
        <f aca="false">ROUND((AA59+AC59+AE59),2)</f>
        <v>0</v>
      </c>
      <c r="AG59" s="131" t="n">
        <f aca="false">VALUE((K59+R59+Y59+AF59)/4)</f>
        <v>0</v>
      </c>
      <c r="AH59" s="108" t="n">
        <f aca="false">ROUND(AG59,1)</f>
        <v>0</v>
      </c>
      <c r="AI59" s="153"/>
      <c r="AJ59" s="143" t="n">
        <f aca="false">IF(AH59&gt;=5.5,AH59,(AH59+AI59)/2)</f>
        <v>0</v>
      </c>
      <c r="AK59" s="132"/>
      <c r="AL59" s="12"/>
    </row>
    <row r="60" customFormat="false" ht="14.25" hidden="false" customHeight="true" outlineLevel="0" collapsed="false">
      <c r="A60" s="112" t="n">
        <v>52</v>
      </c>
      <c r="B60" s="146"/>
      <c r="C60" s="149"/>
      <c r="D60" s="148"/>
      <c r="E60" s="141"/>
      <c r="F60" s="122" t="n">
        <f aca="false">E60*35%</f>
        <v>0</v>
      </c>
      <c r="G60" s="142"/>
      <c r="H60" s="123" t="n">
        <f aca="false">G60*35%</f>
        <v>0</v>
      </c>
      <c r="I60" s="142"/>
      <c r="J60" s="124" t="n">
        <f aca="false">I60*30%</f>
        <v>0</v>
      </c>
      <c r="K60" s="107" t="n">
        <f aca="false">ROUND((F60+H60+J60),2)</f>
        <v>0</v>
      </c>
      <c r="L60" s="141"/>
      <c r="M60" s="123" t="n">
        <f aca="false">L60*35%</f>
        <v>0</v>
      </c>
      <c r="N60" s="141"/>
      <c r="O60" s="123" t="n">
        <f aca="false">N60*35%</f>
        <v>0</v>
      </c>
      <c r="P60" s="141"/>
      <c r="Q60" s="124" t="n">
        <f aca="false">P60*30%</f>
        <v>0</v>
      </c>
      <c r="R60" s="107" t="n">
        <f aca="false">ROUND((M60+O60+Q60),2)</f>
        <v>0</v>
      </c>
      <c r="S60" s="141"/>
      <c r="T60" s="123" t="n">
        <f aca="false">S60*35%</f>
        <v>0</v>
      </c>
      <c r="U60" s="141"/>
      <c r="V60" s="123" t="n">
        <f aca="false">U60*35%</f>
        <v>0</v>
      </c>
      <c r="W60" s="141"/>
      <c r="X60" s="124" t="n">
        <f aca="false">W60*30%</f>
        <v>0</v>
      </c>
      <c r="Y60" s="107" t="n">
        <f aca="false">ROUND((T60+V60+X60),2)</f>
        <v>0</v>
      </c>
      <c r="Z60" s="141"/>
      <c r="AA60" s="123" t="n">
        <f aca="false">Z60*35%</f>
        <v>0</v>
      </c>
      <c r="AB60" s="141"/>
      <c r="AC60" s="123" t="n">
        <f aca="false">AB60*35%</f>
        <v>0</v>
      </c>
      <c r="AD60" s="141"/>
      <c r="AE60" s="124" t="n">
        <f aca="false">AD60*30%</f>
        <v>0</v>
      </c>
      <c r="AF60" s="107" t="n">
        <f aca="false">ROUND((AA60+AC60+AE60),2)</f>
        <v>0</v>
      </c>
      <c r="AG60" s="131" t="n">
        <f aca="false">VALUE((K60+R60+Y60+AF60)/4)</f>
        <v>0</v>
      </c>
      <c r="AH60" s="108" t="n">
        <f aca="false">ROUND(AG60,1)</f>
        <v>0</v>
      </c>
      <c r="AI60" s="153"/>
      <c r="AJ60" s="143" t="n">
        <f aca="false">IF(AH60&gt;=5.5,AH60,(AH60+AI60)/2)</f>
        <v>0</v>
      </c>
      <c r="AK60" s="154"/>
    </row>
    <row r="61" customFormat="false" ht="14.25" hidden="false" customHeight="true" outlineLevel="0" collapsed="false">
      <c r="A61" s="98" t="n">
        <v>53</v>
      </c>
      <c r="B61" s="146"/>
      <c r="C61" s="149"/>
      <c r="D61" s="148"/>
      <c r="E61" s="141"/>
      <c r="F61" s="122" t="n">
        <f aca="false">E61*35%</f>
        <v>0</v>
      </c>
      <c r="G61" s="142"/>
      <c r="H61" s="123" t="n">
        <f aca="false">G61*35%</f>
        <v>0</v>
      </c>
      <c r="I61" s="142"/>
      <c r="J61" s="124" t="n">
        <f aca="false">I61*30%</f>
        <v>0</v>
      </c>
      <c r="K61" s="107" t="n">
        <f aca="false">ROUND((F61+H61+J61),2)</f>
        <v>0</v>
      </c>
      <c r="L61" s="141"/>
      <c r="M61" s="123" t="n">
        <f aca="false">L61*35%</f>
        <v>0</v>
      </c>
      <c r="N61" s="141"/>
      <c r="O61" s="123" t="n">
        <f aca="false">N61*35%</f>
        <v>0</v>
      </c>
      <c r="P61" s="141"/>
      <c r="Q61" s="124" t="n">
        <f aca="false">P61*30%</f>
        <v>0</v>
      </c>
      <c r="R61" s="107" t="n">
        <f aca="false">ROUND((M61+O61+Q61),2)</f>
        <v>0</v>
      </c>
      <c r="S61" s="141"/>
      <c r="T61" s="123" t="n">
        <f aca="false">S61*35%</f>
        <v>0</v>
      </c>
      <c r="U61" s="141"/>
      <c r="V61" s="123" t="n">
        <f aca="false">U61*35%</f>
        <v>0</v>
      </c>
      <c r="W61" s="141"/>
      <c r="X61" s="124" t="n">
        <f aca="false">W61*30%</f>
        <v>0</v>
      </c>
      <c r="Y61" s="107" t="n">
        <f aca="false">ROUND((T61+V61+X61),2)</f>
        <v>0</v>
      </c>
      <c r="Z61" s="141"/>
      <c r="AA61" s="123" t="n">
        <f aca="false">Z61*35%</f>
        <v>0</v>
      </c>
      <c r="AB61" s="141"/>
      <c r="AC61" s="123" t="n">
        <f aca="false">AB61*35%</f>
        <v>0</v>
      </c>
      <c r="AD61" s="141"/>
      <c r="AE61" s="124" t="n">
        <f aca="false">AD61*30%</f>
        <v>0</v>
      </c>
      <c r="AF61" s="107" t="n">
        <f aca="false">ROUND((AA61+AC61+AE61),2)</f>
        <v>0</v>
      </c>
      <c r="AG61" s="131" t="n">
        <f aca="false">VALUE((K61+R61+Y61+AF61)/4)</f>
        <v>0</v>
      </c>
      <c r="AH61" s="108" t="n">
        <f aca="false">ROUND(AG61,1)</f>
        <v>0</v>
      </c>
      <c r="AI61" s="153"/>
      <c r="AJ61" s="143" t="n">
        <f aca="false">IF(AH61&gt;=5.5,AH61,(AH61+AI61)/2)</f>
        <v>0</v>
      </c>
      <c r="AK61" s="154"/>
    </row>
    <row r="62" customFormat="false" ht="14.25" hidden="false" customHeight="true" outlineLevel="0" collapsed="false">
      <c r="A62" s="112" t="n">
        <v>54</v>
      </c>
      <c r="B62" s="146"/>
      <c r="C62" s="149"/>
      <c r="D62" s="148"/>
      <c r="E62" s="141"/>
      <c r="F62" s="122" t="n">
        <f aca="false">E62*35%</f>
        <v>0</v>
      </c>
      <c r="G62" s="142"/>
      <c r="H62" s="123" t="n">
        <f aca="false">G62*35%</f>
        <v>0</v>
      </c>
      <c r="I62" s="142"/>
      <c r="J62" s="124" t="n">
        <f aca="false">I62*30%</f>
        <v>0</v>
      </c>
      <c r="K62" s="107" t="n">
        <f aca="false">ROUND((F62+H62+J62),2)</f>
        <v>0</v>
      </c>
      <c r="L62" s="141"/>
      <c r="M62" s="123" t="n">
        <f aca="false">L62*35%</f>
        <v>0</v>
      </c>
      <c r="N62" s="141"/>
      <c r="O62" s="123" t="n">
        <f aca="false">N62*35%</f>
        <v>0</v>
      </c>
      <c r="P62" s="141"/>
      <c r="Q62" s="124" t="n">
        <f aca="false">P62*30%</f>
        <v>0</v>
      </c>
      <c r="R62" s="107" t="n">
        <f aca="false">ROUND((M62+O62+Q62),2)</f>
        <v>0</v>
      </c>
      <c r="S62" s="141"/>
      <c r="T62" s="123" t="n">
        <f aca="false">S62*35%</f>
        <v>0</v>
      </c>
      <c r="U62" s="141"/>
      <c r="V62" s="123" t="n">
        <f aca="false">U62*35%</f>
        <v>0</v>
      </c>
      <c r="W62" s="141"/>
      <c r="X62" s="124" t="n">
        <f aca="false">W62*30%</f>
        <v>0</v>
      </c>
      <c r="Y62" s="107" t="n">
        <f aca="false">ROUND((T62+V62+X62),2)</f>
        <v>0</v>
      </c>
      <c r="Z62" s="141"/>
      <c r="AA62" s="123" t="n">
        <f aca="false">Z62*35%</f>
        <v>0</v>
      </c>
      <c r="AB62" s="141"/>
      <c r="AC62" s="123" t="n">
        <f aca="false">AB62*35%</f>
        <v>0</v>
      </c>
      <c r="AD62" s="141"/>
      <c r="AE62" s="124" t="n">
        <f aca="false">AD62*30%</f>
        <v>0</v>
      </c>
      <c r="AF62" s="107" t="n">
        <f aca="false">ROUND((AA62+AC62+AE62),2)</f>
        <v>0</v>
      </c>
      <c r="AG62" s="131" t="n">
        <f aca="false">VALUE((K62+R62+Y62+AF62)/4)</f>
        <v>0</v>
      </c>
      <c r="AH62" s="108" t="n">
        <f aca="false">ROUND(AG62,1)</f>
        <v>0</v>
      </c>
      <c r="AI62" s="153"/>
      <c r="AJ62" s="143" t="n">
        <f aca="false">IF(AH62&gt;=5.5,AH62,(AH62+AI62)/2)</f>
        <v>0</v>
      </c>
      <c r="AK62" s="154"/>
    </row>
    <row r="63" customFormat="false" ht="14.25" hidden="false" customHeight="true" outlineLevel="0" collapsed="false">
      <c r="A63" s="98" t="n">
        <v>55</v>
      </c>
      <c r="B63" s="146"/>
      <c r="C63" s="149"/>
      <c r="D63" s="148"/>
      <c r="E63" s="141"/>
      <c r="F63" s="122" t="n">
        <f aca="false">E63*35%</f>
        <v>0</v>
      </c>
      <c r="G63" s="142"/>
      <c r="H63" s="123" t="n">
        <f aca="false">G63*35%</f>
        <v>0</v>
      </c>
      <c r="I63" s="142"/>
      <c r="J63" s="124" t="n">
        <f aca="false">I63*30%</f>
        <v>0</v>
      </c>
      <c r="K63" s="107" t="n">
        <f aca="false">ROUND((F63+H63+J63),2)</f>
        <v>0</v>
      </c>
      <c r="L63" s="141"/>
      <c r="M63" s="123" t="n">
        <f aca="false">L63*35%</f>
        <v>0</v>
      </c>
      <c r="N63" s="141"/>
      <c r="O63" s="123" t="n">
        <f aca="false">N63*35%</f>
        <v>0</v>
      </c>
      <c r="P63" s="141"/>
      <c r="Q63" s="124" t="n">
        <f aca="false">P63*30%</f>
        <v>0</v>
      </c>
      <c r="R63" s="107" t="n">
        <f aca="false">ROUND((M63+O63+Q63),2)</f>
        <v>0</v>
      </c>
      <c r="S63" s="141"/>
      <c r="T63" s="123" t="n">
        <f aca="false">S63*35%</f>
        <v>0</v>
      </c>
      <c r="U63" s="141"/>
      <c r="V63" s="123" t="n">
        <f aca="false">U63*35%</f>
        <v>0</v>
      </c>
      <c r="W63" s="141"/>
      <c r="X63" s="124" t="n">
        <f aca="false">W63*30%</f>
        <v>0</v>
      </c>
      <c r="Y63" s="107" t="n">
        <f aca="false">ROUND((T63+V63+X63),2)</f>
        <v>0</v>
      </c>
      <c r="Z63" s="141"/>
      <c r="AA63" s="123" t="n">
        <f aca="false">Z63*35%</f>
        <v>0</v>
      </c>
      <c r="AB63" s="141"/>
      <c r="AC63" s="123" t="n">
        <f aca="false">AB63*35%</f>
        <v>0</v>
      </c>
      <c r="AD63" s="141"/>
      <c r="AE63" s="124" t="n">
        <f aca="false">AD63*30%</f>
        <v>0</v>
      </c>
      <c r="AF63" s="107" t="n">
        <f aca="false">ROUND((AA63+AC63+AE63),2)</f>
        <v>0</v>
      </c>
      <c r="AG63" s="131" t="n">
        <f aca="false">VALUE((K63+R63+Y63+AF63)/4)</f>
        <v>0</v>
      </c>
      <c r="AH63" s="108" t="n">
        <f aca="false">ROUND(AG63,1)</f>
        <v>0</v>
      </c>
      <c r="AI63" s="153"/>
      <c r="AJ63" s="143" t="n">
        <f aca="false">IF(AH63&gt;=5.5,AH63,(AH63+AI63)/2)</f>
        <v>0</v>
      </c>
      <c r="AK63" s="154"/>
    </row>
    <row r="64" customFormat="false" ht="14.25" hidden="false" customHeight="true" outlineLevel="0" collapsed="false">
      <c r="A64" s="155"/>
      <c r="B64" s="156"/>
      <c r="C64" s="157"/>
      <c r="D64" s="148"/>
      <c r="E64" s="158"/>
      <c r="F64" s="159" t="n">
        <f aca="false">E64*35%</f>
        <v>0</v>
      </c>
      <c r="G64" s="160"/>
      <c r="H64" s="161" t="n">
        <f aca="false">G64*35%</f>
        <v>0</v>
      </c>
      <c r="I64" s="160"/>
      <c r="J64" s="124" t="n">
        <f aca="false">I64*30%</f>
        <v>0</v>
      </c>
      <c r="K64" s="162" t="n">
        <f aca="false">ROUND((F64+H64+J64),2)</f>
        <v>0</v>
      </c>
      <c r="L64" s="160"/>
      <c r="M64" s="123" t="n">
        <f aca="false">L64*35%</f>
        <v>0</v>
      </c>
      <c r="N64" s="160"/>
      <c r="O64" s="123" t="n">
        <f aca="false">N64*35%</f>
        <v>0</v>
      </c>
      <c r="P64" s="160"/>
      <c r="Q64" s="124" t="n">
        <f aca="false">P64*30%</f>
        <v>0</v>
      </c>
      <c r="R64" s="107" t="n">
        <f aca="false">ROUND((M64+O64+Q64),2)</f>
        <v>0</v>
      </c>
      <c r="S64" s="160"/>
      <c r="T64" s="123" t="n">
        <f aca="false">S64*35%</f>
        <v>0</v>
      </c>
      <c r="U64" s="160"/>
      <c r="V64" s="123" t="n">
        <f aca="false">U64*35%</f>
        <v>0</v>
      </c>
      <c r="W64" s="160"/>
      <c r="X64" s="124" t="n">
        <f aca="false">W64*30%</f>
        <v>0</v>
      </c>
      <c r="Y64" s="107" t="n">
        <f aca="false">ROUND((T64+V64+X64),2)</f>
        <v>0</v>
      </c>
      <c r="Z64" s="160"/>
      <c r="AA64" s="123" t="n">
        <f aca="false">Z64*35%</f>
        <v>0</v>
      </c>
      <c r="AB64" s="160"/>
      <c r="AC64" s="123" t="n">
        <f aca="false">AB64*35%</f>
        <v>0</v>
      </c>
      <c r="AD64" s="160"/>
      <c r="AE64" s="124" t="n">
        <f aca="false">AD64*30%</f>
        <v>0</v>
      </c>
      <c r="AF64" s="107" t="n">
        <f aca="false">ROUND((AA64+AC64+AE64),2)</f>
        <v>0</v>
      </c>
      <c r="AG64" s="131" t="n">
        <f aca="false">VALUE((K64+R64+Y64+AF64)/4)</f>
        <v>0</v>
      </c>
      <c r="AH64" s="163" t="n">
        <f aca="false">ROUND(AG64,1)</f>
        <v>0</v>
      </c>
      <c r="AI64" s="164"/>
      <c r="AJ64" s="165"/>
      <c r="AK64" s="164"/>
    </row>
    <row r="65" customFormat="false" ht="13.5" hidden="false" customHeight="true" outlineLevel="0" collapsed="false"/>
    <row r="67" customFormat="false" ht="13.5" hidden="false" customHeight="true" outlineLevel="0" collapsed="false"/>
    <row r="68" customFormat="false" ht="14.25" hidden="false" customHeight="true" outlineLevel="0" collapsed="false">
      <c r="C68" s="166" t="s">
        <v>46</v>
      </c>
      <c r="D68" s="167"/>
      <c r="E68" s="168"/>
      <c r="F68" s="169" t="s">
        <v>47</v>
      </c>
      <c r="G68" s="170"/>
      <c r="H68" s="169" t="s">
        <v>48</v>
      </c>
      <c r="I68" s="170"/>
      <c r="J68" s="169" t="s">
        <v>49</v>
      </c>
      <c r="K68" s="169" t="s">
        <v>50</v>
      </c>
      <c r="M68" s="171" t="s">
        <v>51</v>
      </c>
    </row>
    <row r="69" customFormat="false" ht="13.5" hidden="false" customHeight="true" outlineLevel="0" collapsed="false">
      <c r="C69" s="172" t="s">
        <v>52</v>
      </c>
      <c r="D69" s="167"/>
      <c r="E69" s="173"/>
      <c r="F69" s="174" t="n">
        <f aca="false">MODE(K10:K47)</f>
        <v>0</v>
      </c>
      <c r="G69" s="174"/>
      <c r="H69" s="174" t="n">
        <f aca="false">MODE(R10:R47)</f>
        <v>0</v>
      </c>
      <c r="I69" s="174"/>
      <c r="J69" s="174" t="n">
        <f aca="false">MODE(Y10:Y47)</f>
        <v>0</v>
      </c>
      <c r="K69" s="174" t="n">
        <f aca="false">MODE(AF10:AF47)</f>
        <v>0</v>
      </c>
      <c r="M69" s="175" t="n">
        <f aca="false">MODE(AJ10:AJ47)</f>
        <v>0</v>
      </c>
    </row>
    <row r="70" customFormat="false" ht="12.75" hidden="false" customHeight="true" outlineLevel="0" collapsed="false">
      <c r="C70" s="176" t="s">
        <v>53</v>
      </c>
      <c r="D70" s="167"/>
      <c r="E70" s="177"/>
      <c r="F70" s="178" t="n">
        <f aca="false">MEDIAN(K10:K47)</f>
        <v>0</v>
      </c>
      <c r="G70" s="179"/>
      <c r="H70" s="178" t="n">
        <f aca="false">MEDIAN(R10:R47)</f>
        <v>0</v>
      </c>
      <c r="I70" s="179"/>
      <c r="J70" s="178" t="n">
        <f aca="false">MEDIAN(Y10:Y48)</f>
        <v>0</v>
      </c>
      <c r="K70" s="178" t="n">
        <f aca="false">MEDIAN(AF10:AF47)</f>
        <v>0</v>
      </c>
      <c r="M70" s="180" t="n">
        <f aca="false">MEDIAN(AJ10:AJ47)</f>
        <v>0</v>
      </c>
    </row>
    <row r="71" customFormat="false" ht="12.75" hidden="false" customHeight="true" outlineLevel="0" collapsed="false">
      <c r="C71" s="176" t="s">
        <v>54</v>
      </c>
      <c r="D71" s="167"/>
      <c r="E71" s="177"/>
      <c r="F71" s="178" t="n">
        <f aca="false">AVERAGE(K10:K47)</f>
        <v>0</v>
      </c>
      <c r="G71" s="179"/>
      <c r="H71" s="178" t="n">
        <f aca="false">AVERAGE(R10:R47)</f>
        <v>0</v>
      </c>
      <c r="I71" s="179"/>
      <c r="J71" s="178" t="n">
        <f aca="false">AVERAGE(Y10:Y48)</f>
        <v>0</v>
      </c>
      <c r="K71" s="178" t="n">
        <f aca="false">AVERAGE(AF10:AF47)</f>
        <v>0</v>
      </c>
      <c r="M71" s="180" t="n">
        <f aca="false">AVERAGE(AJ10:AJ47)</f>
        <v>0</v>
      </c>
    </row>
    <row r="72" customFormat="false" ht="12.75" hidden="false" customHeight="true" outlineLevel="0" collapsed="false">
      <c r="C72" s="176" t="s">
        <v>55</v>
      </c>
      <c r="D72" s="167"/>
      <c r="E72" s="177"/>
      <c r="F72" s="178" t="n">
        <f aca="false">MAX(K10:K47)</f>
        <v>0</v>
      </c>
      <c r="G72" s="179"/>
      <c r="H72" s="178" t="n">
        <f aca="false">MAX(R10:R47)</f>
        <v>0</v>
      </c>
      <c r="I72" s="179"/>
      <c r="J72" s="178" t="n">
        <f aca="false">MAX(Y10:Y48)</f>
        <v>0</v>
      </c>
      <c r="K72" s="178" t="n">
        <f aca="false">MAX(AF10:AF47)</f>
        <v>0</v>
      </c>
      <c r="M72" s="180" t="n">
        <f aca="false">MAX(AJ10:AJ47)</f>
        <v>0</v>
      </c>
    </row>
    <row r="73" customFormat="false" ht="12.75" hidden="false" customHeight="true" outlineLevel="0" collapsed="false">
      <c r="C73" s="176" t="s">
        <v>56</v>
      </c>
      <c r="D73" s="167"/>
      <c r="E73" s="177"/>
      <c r="F73" s="178" t="n">
        <f aca="false">MIN(K10:K47)</f>
        <v>0</v>
      </c>
      <c r="G73" s="179"/>
      <c r="H73" s="178" t="n">
        <f aca="false">MIN(R10:R47)</f>
        <v>0</v>
      </c>
      <c r="I73" s="179"/>
      <c r="J73" s="178" t="n">
        <f aca="false">MIN(Y10:Y48)</f>
        <v>0</v>
      </c>
      <c r="K73" s="178" t="n">
        <f aca="false">MIN(AF10:AF47)</f>
        <v>0</v>
      </c>
      <c r="M73" s="180" t="n">
        <f aca="false">MIN(AJ10:AJ47)</f>
        <v>0</v>
      </c>
    </row>
    <row r="74" customFormat="false" ht="12.75" hidden="false" customHeight="true" outlineLevel="0" collapsed="false">
      <c r="C74" s="176" t="s">
        <v>57</v>
      </c>
      <c r="D74" s="167"/>
      <c r="E74" s="177"/>
      <c r="F74" s="179" t="n">
        <f aca="false">COUNTIF(K10:K45,"&gt;=5.45")</f>
        <v>0</v>
      </c>
      <c r="G74" s="179"/>
      <c r="H74" s="179" t="n">
        <f aca="false">COUNTIF(R10:R45,"&gt;=5.45")</f>
        <v>0</v>
      </c>
      <c r="I74" s="179"/>
      <c r="J74" s="179" t="n">
        <f aca="false">COUNTIF(Y10:Y63,"&gt;=5.95")</f>
        <v>0</v>
      </c>
      <c r="K74" s="179" t="n">
        <f aca="false">COUNTIF(AF10:AF63,"&gt;=5.95")</f>
        <v>0</v>
      </c>
      <c r="M74" s="181" t="n">
        <f aca="false">COUNTIF(AJ10:AJ63,"&gt;=5.95")</f>
        <v>0</v>
      </c>
    </row>
    <row r="75" customFormat="false" ht="13.5" hidden="false" customHeight="true" outlineLevel="0" collapsed="false">
      <c r="C75" s="182" t="s">
        <v>58</v>
      </c>
      <c r="D75" s="167"/>
      <c r="E75" s="183"/>
      <c r="F75" s="184" t="n">
        <f aca="false">COUNTIF(K10:K63,"&lt;=5.44")</f>
        <v>54</v>
      </c>
      <c r="G75" s="184"/>
      <c r="H75" s="184" t="n">
        <f aca="false">COUNTIF(R10:R63,"&lt;=5.44")</f>
        <v>54</v>
      </c>
      <c r="I75" s="184"/>
      <c r="J75" s="184" t="n">
        <f aca="false">COUNTIF(Y10:Y63,"&lt;=5.94")</f>
        <v>54</v>
      </c>
      <c r="K75" s="184" t="n">
        <f aca="false">COUNTIF(AF10:AF63,"&lt;=5.94")</f>
        <v>54</v>
      </c>
      <c r="M75" s="185" t="n">
        <f aca="false">COUNTIF(AJ10:AJ63,"&lt;=5.94")</f>
        <v>54</v>
      </c>
    </row>
    <row r="76" customFormat="false" ht="13.5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conditionalFormatting sqref="F10:F64 AJ10:AJ64 M10:M64 O10:O64 J10:K64 T10:T64 V10:V64 AA10:AA64 AC10:AC64 X10:Y64 AE10:AH64 Q10:R64 H10:H64">
    <cfRule type="cellIs" priority="2" operator="equal" aboveAverage="0" equalAverage="0" bottom="0" percent="0" rank="0" text="" dxfId="0">
      <formula>0</formula>
    </cfRule>
  </conditionalFormatting>
  <conditionalFormatting sqref="K10:K45 R10:R64 AF10:AF32 Y10:Y32">
    <cfRule type="cellIs" priority="3" operator="lessThan" aboveAverage="0" equalAverage="0" bottom="0" percent="0" rank="0" text="" dxfId="1">
      <formula>5.44</formula>
    </cfRule>
    <cfRule type="cellIs" priority="4" operator="lessThan" aboveAverage="0" equalAverage="0" bottom="0" percent="0" rank="0" text="" dxfId="2">
      <formula>5.44</formula>
    </cfRule>
  </conditionalFormatting>
  <conditionalFormatting sqref="Y33:Y64">
    <cfRule type="cellIs" priority="5" operator="lessThan" aboveAverage="0" equalAverage="0" bottom="0" percent="0" rank="0" text="" dxfId="3">
      <formula>5.44</formula>
    </cfRule>
    <cfRule type="cellIs" priority="6" operator="lessThan" aboveAverage="0" equalAverage="0" bottom="0" percent="0" rank="0" text="" dxfId="4">
      <formula>5.44</formula>
    </cfRule>
  </conditionalFormatting>
  <conditionalFormatting sqref="AF33:AF64">
    <cfRule type="cellIs" priority="7" operator="lessThan" aboveAverage="0" equalAverage="0" bottom="0" percent="0" rank="0" text="" dxfId="5">
      <formula>5.44</formula>
    </cfRule>
    <cfRule type="cellIs" priority="8" operator="lessThan" aboveAverage="0" equalAverage="0" bottom="0" percent="0" rank="0" text="" dxfId="6">
      <formula>5.44</formula>
    </cfRule>
  </conditionalFormatting>
  <conditionalFormatting sqref="K10:K32 AF10:AF32 R10:R32 Y10:Y32">
    <cfRule type="cellIs" priority="9" operator="equal" aboveAverage="0" equalAverage="0" bottom="0" percent="0" rank="0" text="" dxfId="7">
      <formula>0</formula>
    </cfRule>
  </conditionalFormatting>
  <conditionalFormatting sqref="K46:K63">
    <cfRule type="cellIs" priority="10" operator="lessThan" aboveAverage="0" equalAverage="0" bottom="0" percent="0" rank="0" text="" dxfId="8">
      <formula>5.44</formula>
    </cfRule>
    <cfRule type="cellIs" priority="11" operator="lessThan" aboveAverage="0" equalAverage="0" bottom="0" percent="0" rank="0" text="" dxfId="9">
      <formula>5.44</formula>
    </cfRule>
  </conditionalFormatting>
  <conditionalFormatting sqref="K33:K63 Y33:Y64 AF33:AF64 R33:R64">
    <cfRule type="cellIs" priority="12" operator="equal" aboveAverage="0" equalAverage="0" bottom="0" percent="0" rank="0" text="" dxfId="10">
      <formula>0</formula>
    </cfRule>
  </conditionalFormatting>
  <dataValidations count="4">
    <dataValidation allowBlank="true" error="Por favor rectificar nota, valor incorrecto" errorStyle="stop" errorTitle="NOTA INCORRECTA" operator="between" showDropDown="false" showErrorMessage="true" showInputMessage="false" sqref="E10:AF32 E33:E44 G33:G44 I33:I44 K33:L44 N33:N44 P33:P44 R33:S44 U33:U44 W33:W44 Y33:Z44 AB33:AB44 AD33:AD44 AF33:AF64 K45:K63 R45:R64 Y45:Y64" type="decimal">
      <formula1>0</formula1>
      <formula2>10</formula2>
    </dataValidation>
    <dataValidation allowBlank="true" error="Por Favor rectificar Nota" errorStyle="stop" errorTitle="Nota no Valida" operator="between" showDropDown="false" showErrorMessage="true" showInputMessage="false" sqref="F33:F64 H33:H64 J33:J64 M33:M64 O33:O64 Q33:Q64 T33:T64 V33:V64 X33:X64 AA33:AA64 AC33:AC64 AE33:AE64 E45:E64 G45:G64 I45:I64 L45:L64 N45:N64 P45:P64 S45:S64 U45:U64 W45:W64 Z45:Z64 AB45:AB64 AD45:AD64 K64" type="decimal">
      <formula1>0</formula1>
      <formula2>10</formula2>
    </dataValidation>
    <dataValidation allowBlank="true" error="El Nombre que a introducido sobrepasa el límite permitido que son 18 caracteres, por favor pasar a la celda de abajo. " errorStyle="stop" errorTitle="Aviso" operator="lessThanOrEqual" showDropDown="false" showErrorMessage="true" showInputMessage="false" sqref="AL49" type="textLength">
      <formula1>18</formula1>
      <formula2>0</formula2>
    </dataValidation>
    <dataValidation allowBlank="true" error="El Nombre que a introducido sobrepasa el límite permitido que son 18 carácteres, por favor pasar a la celda de abajo. " errorStyle="stop" errorTitle="Aviso" operator="lessThanOrEqual" showDropDown="false" showErrorMessage="true" showInputMessage="false" sqref="AL50" type="textLength">
      <formula1>18</formula1>
      <formula2>0</formula2>
    </dataValidation>
  </dataValidations>
  <printOptions headings="false" gridLines="false" gridLinesSet="true" horizontalCentered="false" verticalCentered="false"/>
  <pageMargins left="0.659722222222222" right="0.196527777777778" top="0.945138888888889" bottom="0.579861111111111" header="0" footer="0"/>
  <pageSetup paperSize="5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&amp;L              </oddHeader>
    <oddFooter>&amp;L                   &amp;Z&amp;F&amp;R&amp;D            &amp;T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6"/>
  <sheetViews>
    <sheetView showFormulas="false" showGridLines="true" showRowColHeaders="true" showZeros="true" rightToLeft="false" tabSelected="false" showOutlineSymbols="true" defaultGridColor="true" view="normal" topLeftCell="A8" colorId="64" zoomScale="100" zoomScaleNormal="100" zoomScalePageLayoutView="100" workbookViewId="0">
      <selection pane="topLeft" activeCell="E56" activeCellId="1" sqref="W10:W36 E56"/>
    </sheetView>
  </sheetViews>
  <sheetFormatPr defaultColWidth="9.13671875" defaultRowHeight="12.75" customHeight="true" zeroHeight="false" outlineLevelRow="0" outlineLevelCol="0"/>
  <cols>
    <col collapsed="false" customWidth="true" hidden="false" outlineLevel="0" max="1" min="1" style="0" width="2.99"/>
    <col collapsed="false" customWidth="true" hidden="false" outlineLevel="0" max="2" min="2" style="0" width="6.13"/>
    <col collapsed="false" customWidth="true" hidden="false" outlineLevel="0" max="3" min="3" style="0" width="5.99"/>
  </cols>
  <sheetData>
    <row r="1" customFormat="false" ht="12.75" hidden="false" customHeight="true" outlineLevel="0" collapsed="false">
      <c r="A1" s="186" t="s">
        <v>59</v>
      </c>
      <c r="B1" s="187" t="s">
        <v>60</v>
      </c>
      <c r="C1" s="188" t="s">
        <v>61</v>
      </c>
      <c r="D1" s="188" t="s">
        <v>62</v>
      </c>
      <c r="E1" s="188" t="s">
        <v>63</v>
      </c>
      <c r="F1" s="186" t="s">
        <v>64</v>
      </c>
      <c r="G1" s="186" t="s">
        <v>65</v>
      </c>
      <c r="H1" s="186" t="s">
        <v>66</v>
      </c>
    </row>
    <row r="2" customFormat="false" ht="12.75" hidden="false" customHeight="true" outlineLevel="0" collapsed="false">
      <c r="A2" s="187" t="n">
        <v>1</v>
      </c>
      <c r="B2" s="189"/>
      <c r="C2" s="190"/>
      <c r="D2" s="0" t="n">
        <f aca="false">'PLANILLA PARA MATERIA'!B10</f>
        <v>0</v>
      </c>
      <c r="E2" s="191" t="n">
        <f aca="false">'PLANILLA PARA MATERIA'!K10</f>
        <v>0</v>
      </c>
      <c r="F2" s="191" t="n">
        <f aca="false">'PLANILLA PARA MATERIA'!R10</f>
        <v>0</v>
      </c>
      <c r="G2" s="191" t="n">
        <f aca="false">'PLANILLA PARA MATERIA'!Y10</f>
        <v>0</v>
      </c>
      <c r="H2" s="191" t="n">
        <f aca="false">'PLANILLA PARA MATERIA'!AF10</f>
        <v>0</v>
      </c>
    </row>
    <row r="3" customFormat="false" ht="12.75" hidden="false" customHeight="true" outlineLevel="0" collapsed="false">
      <c r="A3" s="192" t="n">
        <v>2</v>
      </c>
      <c r="B3" s="189"/>
      <c r="C3" s="190"/>
      <c r="D3" s="0" t="n">
        <f aca="false">'PLANILLA PARA MATERIA'!B11</f>
        <v>0</v>
      </c>
      <c r="E3" s="191" t="n">
        <f aca="false">'PLANILLA PARA MATERIA'!K11</f>
        <v>0</v>
      </c>
      <c r="F3" s="191" t="n">
        <f aca="false">'PLANILLA PARA MATERIA'!R11</f>
        <v>0</v>
      </c>
      <c r="G3" s="191" t="n">
        <f aca="false">'PLANILLA PARA MATERIA'!Y11</f>
        <v>0</v>
      </c>
      <c r="H3" s="191" t="n">
        <f aca="false">'PLANILLA PARA MATERIA'!AF11</f>
        <v>0</v>
      </c>
    </row>
    <row r="4" customFormat="false" ht="12.75" hidden="false" customHeight="true" outlineLevel="0" collapsed="false">
      <c r="A4" s="187" t="n">
        <v>3</v>
      </c>
      <c r="B4" s="189"/>
      <c r="C4" s="190"/>
      <c r="D4" s="0" t="n">
        <f aca="false">'PLANILLA PARA MATERIA'!B12</f>
        <v>0</v>
      </c>
      <c r="E4" s="191" t="n">
        <f aca="false">'PLANILLA PARA MATERIA'!K12</f>
        <v>0</v>
      </c>
      <c r="F4" s="191" t="n">
        <f aca="false">'PLANILLA PARA MATERIA'!R12</f>
        <v>0</v>
      </c>
      <c r="G4" s="191" t="n">
        <f aca="false">'PLANILLA PARA MATERIA'!Y12</f>
        <v>0</v>
      </c>
      <c r="H4" s="191" t="n">
        <f aca="false">'PLANILLA PARA MATERIA'!AF12</f>
        <v>0</v>
      </c>
    </row>
    <row r="5" customFormat="false" ht="12.75" hidden="false" customHeight="true" outlineLevel="0" collapsed="false">
      <c r="A5" s="192" t="n">
        <v>4</v>
      </c>
      <c r="B5" s="189"/>
      <c r="C5" s="190"/>
      <c r="D5" s="0" t="n">
        <f aca="false">'PLANILLA PARA MATERIA'!B13</f>
        <v>0</v>
      </c>
      <c r="E5" s="191" t="n">
        <f aca="false">'PLANILLA PARA MATERIA'!K13</f>
        <v>0</v>
      </c>
      <c r="F5" s="191" t="n">
        <f aca="false">'PLANILLA PARA MATERIA'!R13</f>
        <v>0</v>
      </c>
      <c r="G5" s="191" t="n">
        <f aca="false">'PLANILLA PARA MATERIA'!Y13</f>
        <v>0</v>
      </c>
      <c r="H5" s="191" t="n">
        <f aca="false">'PLANILLA PARA MATERIA'!AF13</f>
        <v>0</v>
      </c>
    </row>
    <row r="6" customFormat="false" ht="12.75" hidden="false" customHeight="true" outlineLevel="0" collapsed="false">
      <c r="A6" s="187" t="n">
        <v>5</v>
      </c>
      <c r="B6" s="189"/>
      <c r="C6" s="190"/>
      <c r="D6" s="0" t="n">
        <f aca="false">'PLANILLA PARA MATERIA'!B14</f>
        <v>0</v>
      </c>
      <c r="E6" s="191" t="n">
        <f aca="false">'PLANILLA PARA MATERIA'!K14</f>
        <v>0</v>
      </c>
      <c r="F6" s="191" t="n">
        <f aca="false">'PLANILLA PARA MATERIA'!R14</f>
        <v>0</v>
      </c>
      <c r="G6" s="191" t="n">
        <f aca="false">'PLANILLA PARA MATERIA'!Y14</f>
        <v>0</v>
      </c>
      <c r="H6" s="191" t="n">
        <f aca="false">'PLANILLA PARA MATERIA'!AF14</f>
        <v>0</v>
      </c>
    </row>
    <row r="7" customFormat="false" ht="12.75" hidden="false" customHeight="true" outlineLevel="0" collapsed="false">
      <c r="A7" s="192" t="n">
        <v>6</v>
      </c>
      <c r="B7" s="189"/>
      <c r="C7" s="190"/>
      <c r="D7" s="0" t="n">
        <f aca="false">'PLANILLA PARA MATERIA'!B15</f>
        <v>0</v>
      </c>
      <c r="E7" s="191" t="n">
        <f aca="false">'PLANILLA PARA MATERIA'!K15</f>
        <v>0</v>
      </c>
      <c r="F7" s="191" t="n">
        <f aca="false">'PLANILLA PARA MATERIA'!R15</f>
        <v>0</v>
      </c>
      <c r="G7" s="191" t="n">
        <f aca="false">'PLANILLA PARA MATERIA'!Y15</f>
        <v>0</v>
      </c>
      <c r="H7" s="191" t="n">
        <f aca="false">'PLANILLA PARA MATERIA'!AF15</f>
        <v>0</v>
      </c>
    </row>
    <row r="8" customFormat="false" ht="12.75" hidden="false" customHeight="true" outlineLevel="0" collapsed="false">
      <c r="A8" s="187" t="n">
        <v>7</v>
      </c>
      <c r="B8" s="189"/>
      <c r="C8" s="190"/>
      <c r="D8" s="0" t="n">
        <f aca="false">'PLANILLA PARA MATERIA'!B16</f>
        <v>0</v>
      </c>
      <c r="E8" s="191" t="n">
        <f aca="false">'PLANILLA PARA MATERIA'!K16</f>
        <v>0</v>
      </c>
      <c r="F8" s="191" t="n">
        <f aca="false">'PLANILLA PARA MATERIA'!R16</f>
        <v>0</v>
      </c>
      <c r="G8" s="191" t="n">
        <f aca="false">'PLANILLA PARA MATERIA'!Y16</f>
        <v>0</v>
      </c>
      <c r="H8" s="191" t="n">
        <f aca="false">'PLANILLA PARA MATERIA'!AF16</f>
        <v>0</v>
      </c>
    </row>
    <row r="9" customFormat="false" ht="12.75" hidden="false" customHeight="true" outlineLevel="0" collapsed="false">
      <c r="A9" s="192" t="n">
        <v>8</v>
      </c>
      <c r="B9" s="189"/>
      <c r="C9" s="190"/>
      <c r="D9" s="0" t="n">
        <f aca="false">'PLANILLA PARA MATERIA'!B17</f>
        <v>0</v>
      </c>
      <c r="E9" s="191" t="n">
        <f aca="false">'PLANILLA PARA MATERIA'!K17</f>
        <v>0</v>
      </c>
      <c r="F9" s="191" t="n">
        <f aca="false">'PLANILLA PARA MATERIA'!R17</f>
        <v>0</v>
      </c>
      <c r="G9" s="191" t="n">
        <f aca="false">'PLANILLA PARA MATERIA'!Y17</f>
        <v>0</v>
      </c>
      <c r="H9" s="191" t="n">
        <f aca="false">'PLANILLA PARA MATERIA'!AF17</f>
        <v>0</v>
      </c>
    </row>
    <row r="10" customFormat="false" ht="12.75" hidden="false" customHeight="true" outlineLevel="0" collapsed="false">
      <c r="A10" s="187" t="n">
        <v>9</v>
      </c>
      <c r="B10" s="189"/>
      <c r="C10" s="190"/>
      <c r="D10" s="0" t="n">
        <f aca="false">'PLANILLA PARA MATERIA'!B18</f>
        <v>0</v>
      </c>
      <c r="E10" s="191" t="n">
        <f aca="false">'PLANILLA PARA MATERIA'!K18</f>
        <v>0</v>
      </c>
      <c r="F10" s="191" t="n">
        <f aca="false">'PLANILLA PARA MATERIA'!R18</f>
        <v>0</v>
      </c>
      <c r="G10" s="191" t="n">
        <f aca="false">'PLANILLA PARA MATERIA'!Y18</f>
        <v>0</v>
      </c>
      <c r="H10" s="191" t="n">
        <f aca="false">'PLANILLA PARA MATERIA'!AF18</f>
        <v>0</v>
      </c>
    </row>
    <row r="11" customFormat="false" ht="12.75" hidden="false" customHeight="true" outlineLevel="0" collapsed="false">
      <c r="A11" s="192" t="n">
        <v>10</v>
      </c>
      <c r="B11" s="189"/>
      <c r="C11" s="190"/>
      <c r="D11" s="0" t="n">
        <f aca="false">'PLANILLA PARA MATERIA'!B19</f>
        <v>0</v>
      </c>
      <c r="E11" s="191" t="n">
        <f aca="false">'PLANILLA PARA MATERIA'!K19</f>
        <v>0</v>
      </c>
      <c r="F11" s="191" t="n">
        <f aca="false">'PLANILLA PARA MATERIA'!R19</f>
        <v>0</v>
      </c>
      <c r="G11" s="191" t="n">
        <f aca="false">'PLANILLA PARA MATERIA'!Y19</f>
        <v>0</v>
      </c>
      <c r="H11" s="191" t="n">
        <f aca="false">'PLANILLA PARA MATERIA'!AF19</f>
        <v>0</v>
      </c>
    </row>
    <row r="12" customFormat="false" ht="12.75" hidden="false" customHeight="true" outlineLevel="0" collapsed="false">
      <c r="A12" s="187" t="n">
        <v>11</v>
      </c>
      <c r="B12" s="189"/>
      <c r="C12" s="190"/>
      <c r="D12" s="0" t="n">
        <f aca="false">'PLANILLA PARA MATERIA'!B20</f>
        <v>0</v>
      </c>
      <c r="E12" s="191" t="n">
        <f aca="false">'PLANILLA PARA MATERIA'!K20</f>
        <v>0</v>
      </c>
      <c r="F12" s="191" t="n">
        <f aca="false">'PLANILLA PARA MATERIA'!R20</f>
        <v>0</v>
      </c>
      <c r="G12" s="191" t="n">
        <f aca="false">'PLANILLA PARA MATERIA'!Y20</f>
        <v>0</v>
      </c>
      <c r="H12" s="191" t="n">
        <f aca="false">'PLANILLA PARA MATERIA'!AF20</f>
        <v>0</v>
      </c>
    </row>
    <row r="13" customFormat="false" ht="12.75" hidden="false" customHeight="true" outlineLevel="0" collapsed="false">
      <c r="A13" s="192" t="n">
        <v>12</v>
      </c>
      <c r="B13" s="189"/>
      <c r="C13" s="190"/>
      <c r="D13" s="0" t="n">
        <f aca="false">'PLANILLA PARA MATERIA'!B21</f>
        <v>0</v>
      </c>
      <c r="E13" s="191" t="n">
        <f aca="false">'PLANILLA PARA MATERIA'!K21</f>
        <v>0</v>
      </c>
      <c r="F13" s="191" t="n">
        <f aca="false">'PLANILLA PARA MATERIA'!R21</f>
        <v>0</v>
      </c>
      <c r="G13" s="191" t="n">
        <f aca="false">'PLANILLA PARA MATERIA'!Y21</f>
        <v>0</v>
      </c>
      <c r="H13" s="191" t="n">
        <f aca="false">'PLANILLA PARA MATERIA'!AF21</f>
        <v>0</v>
      </c>
    </row>
    <row r="14" customFormat="false" ht="12.75" hidden="false" customHeight="true" outlineLevel="0" collapsed="false">
      <c r="A14" s="187" t="n">
        <v>13</v>
      </c>
      <c r="B14" s="189"/>
      <c r="C14" s="190"/>
      <c r="D14" s="0" t="n">
        <f aca="false">'PLANILLA PARA MATERIA'!B22</f>
        <v>0</v>
      </c>
      <c r="E14" s="191" t="n">
        <f aca="false">'PLANILLA PARA MATERIA'!K22</f>
        <v>0</v>
      </c>
      <c r="F14" s="191" t="n">
        <f aca="false">'PLANILLA PARA MATERIA'!R22</f>
        <v>0</v>
      </c>
      <c r="G14" s="191" t="n">
        <f aca="false">'PLANILLA PARA MATERIA'!Y22</f>
        <v>0</v>
      </c>
      <c r="H14" s="191" t="n">
        <f aca="false">'PLANILLA PARA MATERIA'!AF22</f>
        <v>0</v>
      </c>
    </row>
    <row r="15" customFormat="false" ht="12.75" hidden="false" customHeight="true" outlineLevel="0" collapsed="false">
      <c r="A15" s="192" t="n">
        <v>14</v>
      </c>
      <c r="B15" s="189"/>
      <c r="C15" s="190"/>
      <c r="D15" s="0" t="n">
        <f aca="false">'PLANILLA PARA MATERIA'!B23</f>
        <v>0</v>
      </c>
      <c r="E15" s="191" t="n">
        <f aca="false">'PLANILLA PARA MATERIA'!K23</f>
        <v>0</v>
      </c>
      <c r="F15" s="191" t="n">
        <f aca="false">'PLANILLA PARA MATERIA'!R23</f>
        <v>0</v>
      </c>
      <c r="G15" s="191" t="n">
        <f aca="false">'PLANILLA PARA MATERIA'!Y23</f>
        <v>0</v>
      </c>
      <c r="H15" s="191" t="n">
        <f aca="false">'PLANILLA PARA MATERIA'!AF23</f>
        <v>0</v>
      </c>
    </row>
    <row r="16" customFormat="false" ht="12.75" hidden="false" customHeight="true" outlineLevel="0" collapsed="false">
      <c r="A16" s="187" t="n">
        <v>15</v>
      </c>
      <c r="B16" s="189"/>
      <c r="C16" s="190"/>
      <c r="D16" s="0" t="n">
        <f aca="false">'PLANILLA PARA MATERIA'!B24</f>
        <v>0</v>
      </c>
      <c r="E16" s="191" t="n">
        <f aca="false">'PLANILLA PARA MATERIA'!K24</f>
        <v>0</v>
      </c>
      <c r="F16" s="191" t="n">
        <f aca="false">'PLANILLA PARA MATERIA'!R24</f>
        <v>0</v>
      </c>
      <c r="G16" s="191" t="n">
        <f aca="false">'PLANILLA PARA MATERIA'!Y24</f>
        <v>0</v>
      </c>
      <c r="H16" s="191" t="n">
        <f aca="false">'PLANILLA PARA MATERIA'!AF24</f>
        <v>0</v>
      </c>
    </row>
    <row r="17" customFormat="false" ht="12.75" hidden="false" customHeight="true" outlineLevel="0" collapsed="false">
      <c r="A17" s="192" t="n">
        <v>16</v>
      </c>
      <c r="B17" s="189"/>
      <c r="C17" s="190"/>
      <c r="D17" s="0" t="n">
        <f aca="false">'PLANILLA PARA MATERIA'!B25</f>
        <v>0</v>
      </c>
      <c r="E17" s="191" t="n">
        <f aca="false">'PLANILLA PARA MATERIA'!K25</f>
        <v>0</v>
      </c>
      <c r="F17" s="191" t="n">
        <f aca="false">'PLANILLA PARA MATERIA'!R25</f>
        <v>0</v>
      </c>
      <c r="G17" s="191" t="n">
        <f aca="false">'PLANILLA PARA MATERIA'!Y25</f>
        <v>0</v>
      </c>
      <c r="H17" s="191" t="n">
        <f aca="false">'PLANILLA PARA MATERIA'!AF25</f>
        <v>0</v>
      </c>
    </row>
    <row r="18" customFormat="false" ht="12.75" hidden="false" customHeight="true" outlineLevel="0" collapsed="false">
      <c r="A18" s="187" t="n">
        <v>17</v>
      </c>
      <c r="B18" s="189"/>
      <c r="C18" s="190"/>
      <c r="D18" s="0" t="n">
        <f aca="false">'PLANILLA PARA MATERIA'!B26</f>
        <v>0</v>
      </c>
      <c r="E18" s="191" t="n">
        <f aca="false">'PLANILLA PARA MATERIA'!K26</f>
        <v>0</v>
      </c>
      <c r="F18" s="191" t="n">
        <f aca="false">'PLANILLA PARA MATERIA'!R26</f>
        <v>0</v>
      </c>
      <c r="G18" s="191" t="n">
        <f aca="false">'PLANILLA PARA MATERIA'!Y26</f>
        <v>0</v>
      </c>
      <c r="H18" s="191" t="n">
        <f aca="false">'PLANILLA PARA MATERIA'!AF26</f>
        <v>0</v>
      </c>
    </row>
    <row r="19" customFormat="false" ht="12.75" hidden="false" customHeight="true" outlineLevel="0" collapsed="false">
      <c r="A19" s="192" t="n">
        <v>18</v>
      </c>
      <c r="B19" s="189"/>
      <c r="C19" s="190"/>
      <c r="D19" s="0" t="n">
        <f aca="false">'PLANILLA PARA MATERIA'!B27</f>
        <v>0</v>
      </c>
      <c r="E19" s="191" t="n">
        <f aca="false">'PLANILLA PARA MATERIA'!K27</f>
        <v>0</v>
      </c>
      <c r="F19" s="191" t="n">
        <f aca="false">'PLANILLA PARA MATERIA'!R27</f>
        <v>0</v>
      </c>
      <c r="G19" s="191" t="n">
        <f aca="false">'PLANILLA PARA MATERIA'!Y27</f>
        <v>0</v>
      </c>
      <c r="H19" s="191" t="n">
        <f aca="false">'PLANILLA PARA MATERIA'!AF27</f>
        <v>0</v>
      </c>
    </row>
    <row r="20" customFormat="false" ht="12.75" hidden="false" customHeight="true" outlineLevel="0" collapsed="false">
      <c r="A20" s="187" t="n">
        <v>19</v>
      </c>
      <c r="B20" s="189"/>
      <c r="C20" s="190"/>
      <c r="D20" s="0" t="n">
        <f aca="false">'PLANILLA PARA MATERIA'!B28</f>
        <v>0</v>
      </c>
      <c r="E20" s="191" t="n">
        <f aca="false">'PLANILLA PARA MATERIA'!K28</f>
        <v>0</v>
      </c>
      <c r="F20" s="191" t="n">
        <f aca="false">'PLANILLA PARA MATERIA'!R28</f>
        <v>0</v>
      </c>
      <c r="G20" s="191" t="n">
        <f aca="false">'PLANILLA PARA MATERIA'!Y28</f>
        <v>0</v>
      </c>
      <c r="H20" s="191" t="n">
        <f aca="false">'PLANILLA PARA MATERIA'!AF28</f>
        <v>0</v>
      </c>
    </row>
    <row r="21" customFormat="false" ht="12.75" hidden="false" customHeight="true" outlineLevel="0" collapsed="false">
      <c r="A21" s="192" t="n">
        <v>20</v>
      </c>
      <c r="B21" s="189"/>
      <c r="C21" s="190"/>
      <c r="D21" s="0" t="n">
        <f aca="false">'PLANILLA PARA MATERIA'!B29</f>
        <v>0</v>
      </c>
      <c r="E21" s="191" t="n">
        <f aca="false">'PLANILLA PARA MATERIA'!K29</f>
        <v>0</v>
      </c>
      <c r="F21" s="191" t="n">
        <f aca="false">'PLANILLA PARA MATERIA'!R29</f>
        <v>0</v>
      </c>
      <c r="G21" s="191" t="n">
        <f aca="false">'PLANILLA PARA MATERIA'!Y29</f>
        <v>0</v>
      </c>
      <c r="H21" s="191" t="n">
        <f aca="false">'PLANILLA PARA MATERIA'!AF29</f>
        <v>0</v>
      </c>
    </row>
    <row r="22" customFormat="false" ht="12.75" hidden="false" customHeight="true" outlineLevel="0" collapsed="false">
      <c r="A22" s="187" t="n">
        <v>21</v>
      </c>
      <c r="B22" s="189"/>
      <c r="C22" s="190"/>
      <c r="D22" s="0" t="n">
        <f aca="false">'PLANILLA PARA MATERIA'!B30</f>
        <v>0</v>
      </c>
      <c r="E22" s="191" t="n">
        <f aca="false">'PLANILLA PARA MATERIA'!K30</f>
        <v>0</v>
      </c>
      <c r="F22" s="191" t="n">
        <f aca="false">'PLANILLA PARA MATERIA'!R30</f>
        <v>0</v>
      </c>
      <c r="G22" s="191" t="n">
        <f aca="false">'PLANILLA PARA MATERIA'!Y30</f>
        <v>0</v>
      </c>
      <c r="H22" s="191" t="n">
        <f aca="false">'PLANILLA PARA MATERIA'!AF30</f>
        <v>0</v>
      </c>
    </row>
    <row r="23" customFormat="false" ht="12.75" hidden="false" customHeight="true" outlineLevel="0" collapsed="false">
      <c r="A23" s="192" t="n">
        <v>22</v>
      </c>
      <c r="B23" s="189"/>
      <c r="C23" s="190"/>
      <c r="D23" s="0" t="e">
        <f aca="false">#REF!</f>
        <v>#REF!</v>
      </c>
      <c r="E23" s="0" t="e">
        <f aca="false">#REF!</f>
        <v>#REF!</v>
      </c>
      <c r="F23" s="0" t="e">
        <f aca="false">#REF!</f>
        <v>#REF!</v>
      </c>
      <c r="G23" s="0" t="e">
        <f aca="false">#REF!</f>
        <v>#REF!</v>
      </c>
      <c r="H23" s="0" t="e">
        <f aca="false">#REF!</f>
        <v>#REF!</v>
      </c>
    </row>
    <row r="24" customFormat="false" ht="12.75" hidden="false" customHeight="true" outlineLevel="0" collapsed="false">
      <c r="A24" s="187" t="n">
        <v>23</v>
      </c>
      <c r="B24" s="189"/>
      <c r="C24" s="190"/>
      <c r="D24" s="0" t="n">
        <f aca="false">'PLANILLA PARA MATERIA'!B31</f>
        <v>0</v>
      </c>
      <c r="E24" s="191" t="n">
        <f aca="false">'PLANILLA PARA MATERIA'!K31</f>
        <v>0</v>
      </c>
      <c r="F24" s="191" t="n">
        <f aca="false">'PLANILLA PARA MATERIA'!R31</f>
        <v>0</v>
      </c>
      <c r="G24" s="191" t="n">
        <f aca="false">'PLANILLA PARA MATERIA'!Y31</f>
        <v>0</v>
      </c>
      <c r="H24" s="191" t="n">
        <f aca="false">'PLANILLA PARA MATERIA'!AF31</f>
        <v>0</v>
      </c>
    </row>
    <row r="25" customFormat="false" ht="12.75" hidden="false" customHeight="true" outlineLevel="0" collapsed="false">
      <c r="A25" s="192" t="n">
        <v>24</v>
      </c>
      <c r="B25" s="189"/>
      <c r="C25" s="190"/>
      <c r="D25" s="0" t="n">
        <f aca="false">'PLANILLA PARA MATERIA'!B32</f>
        <v>0</v>
      </c>
      <c r="E25" s="191" t="n">
        <f aca="false">'PLANILLA PARA MATERIA'!K32</f>
        <v>0</v>
      </c>
      <c r="F25" s="191" t="n">
        <f aca="false">'PLANILLA PARA MATERIA'!R32</f>
        <v>0</v>
      </c>
      <c r="G25" s="191" t="n">
        <f aca="false">'PLANILLA PARA MATERIA'!Y32</f>
        <v>0</v>
      </c>
      <c r="H25" s="191" t="n">
        <f aca="false">'PLANILLA PARA MATERIA'!AF32</f>
        <v>0</v>
      </c>
    </row>
    <row r="26" customFormat="false" ht="12.75" hidden="false" customHeight="true" outlineLevel="0" collapsed="false">
      <c r="A26" s="187" t="n">
        <v>25</v>
      </c>
      <c r="B26" s="189"/>
      <c r="C26" s="190"/>
      <c r="D26" s="0" t="n">
        <f aca="false">'PLANILLA PARA MATERIA'!B33</f>
        <v>0</v>
      </c>
      <c r="E26" s="191" t="n">
        <f aca="false">'PLANILLA PARA MATERIA'!K33</f>
        <v>0</v>
      </c>
      <c r="F26" s="191" t="n">
        <f aca="false">'PLANILLA PARA MATERIA'!R33</f>
        <v>0</v>
      </c>
      <c r="G26" s="191" t="n">
        <f aca="false">'PLANILLA PARA MATERIA'!Y33</f>
        <v>0</v>
      </c>
      <c r="H26" s="191" t="n">
        <f aca="false">'PLANILLA PARA MATERIA'!AF33</f>
        <v>0</v>
      </c>
    </row>
    <row r="27" customFormat="false" ht="12.75" hidden="false" customHeight="true" outlineLevel="0" collapsed="false">
      <c r="A27" s="192" t="n">
        <v>26</v>
      </c>
      <c r="B27" s="189"/>
      <c r="C27" s="190"/>
      <c r="D27" s="0" t="n">
        <f aca="false">'PLANILLA PARA MATERIA'!B34</f>
        <v>0</v>
      </c>
      <c r="E27" s="191" t="n">
        <f aca="false">'PLANILLA PARA MATERIA'!K34</f>
        <v>0</v>
      </c>
      <c r="F27" s="191" t="n">
        <f aca="false">'PLANILLA PARA MATERIA'!R34</f>
        <v>0</v>
      </c>
      <c r="G27" s="191" t="n">
        <f aca="false">'PLANILLA PARA MATERIA'!Y34</f>
        <v>0</v>
      </c>
      <c r="H27" s="191" t="n">
        <f aca="false">'PLANILLA PARA MATERIA'!AF34</f>
        <v>0</v>
      </c>
    </row>
    <row r="28" customFormat="false" ht="12.75" hidden="false" customHeight="true" outlineLevel="0" collapsed="false">
      <c r="A28" s="187" t="n">
        <v>27</v>
      </c>
      <c r="B28" s="189"/>
      <c r="C28" s="190"/>
      <c r="D28" s="0" t="n">
        <f aca="false">'PLANILLA PARA MATERIA'!B35</f>
        <v>0</v>
      </c>
      <c r="E28" s="191" t="n">
        <f aca="false">'PLANILLA PARA MATERIA'!K35</f>
        <v>0</v>
      </c>
      <c r="F28" s="191" t="n">
        <f aca="false">'PLANILLA PARA MATERIA'!R35</f>
        <v>0</v>
      </c>
      <c r="G28" s="191" t="n">
        <f aca="false">'PLANILLA PARA MATERIA'!Y35</f>
        <v>0</v>
      </c>
      <c r="H28" s="191" t="n">
        <f aca="false">'PLANILLA PARA MATERIA'!AF35</f>
        <v>0</v>
      </c>
    </row>
    <row r="29" customFormat="false" ht="12.75" hidden="false" customHeight="true" outlineLevel="0" collapsed="false">
      <c r="A29" s="192" t="n">
        <v>28</v>
      </c>
      <c r="B29" s="189"/>
      <c r="C29" s="190"/>
      <c r="D29" s="0" t="n">
        <f aca="false">'PLANILLA PARA MATERIA'!B36</f>
        <v>0</v>
      </c>
      <c r="E29" s="191" t="n">
        <f aca="false">'PLANILLA PARA MATERIA'!K36</f>
        <v>0</v>
      </c>
      <c r="F29" s="191" t="n">
        <f aca="false">'PLANILLA PARA MATERIA'!R36</f>
        <v>0</v>
      </c>
      <c r="G29" s="191" t="n">
        <f aca="false">'PLANILLA PARA MATERIA'!Y36</f>
        <v>0</v>
      </c>
      <c r="H29" s="191" t="n">
        <f aca="false">'PLANILLA PARA MATERIA'!AF36</f>
        <v>0</v>
      </c>
    </row>
    <row r="30" customFormat="false" ht="12.75" hidden="false" customHeight="true" outlineLevel="0" collapsed="false">
      <c r="A30" s="187" t="n">
        <v>29</v>
      </c>
      <c r="B30" s="189"/>
      <c r="C30" s="190"/>
      <c r="D30" s="0" t="n">
        <f aca="false">'PLANILLA PARA MATERIA'!B37</f>
        <v>0</v>
      </c>
      <c r="E30" s="191" t="n">
        <f aca="false">'PLANILLA PARA MATERIA'!K37</f>
        <v>0</v>
      </c>
      <c r="F30" s="191" t="n">
        <f aca="false">'PLANILLA PARA MATERIA'!R37</f>
        <v>0</v>
      </c>
      <c r="G30" s="191" t="n">
        <f aca="false">'PLANILLA PARA MATERIA'!Y37</f>
        <v>0</v>
      </c>
      <c r="H30" s="191" t="n">
        <f aca="false">'PLANILLA PARA MATERIA'!AF37</f>
        <v>0</v>
      </c>
    </row>
    <row r="31" customFormat="false" ht="12.75" hidden="false" customHeight="true" outlineLevel="0" collapsed="false">
      <c r="A31" s="192" t="n">
        <v>30</v>
      </c>
      <c r="B31" s="189"/>
      <c r="C31" s="190"/>
      <c r="D31" s="0" t="n">
        <f aca="false">'PLANILLA PARA MATERIA'!B38</f>
        <v>0</v>
      </c>
      <c r="E31" s="191" t="n">
        <f aca="false">'PLANILLA PARA MATERIA'!K38</f>
        <v>0</v>
      </c>
      <c r="F31" s="191" t="n">
        <f aca="false">'PLANILLA PARA MATERIA'!R38</f>
        <v>0</v>
      </c>
      <c r="G31" s="191" t="n">
        <f aca="false">'PLANILLA PARA MATERIA'!Y38</f>
        <v>0</v>
      </c>
      <c r="H31" s="191" t="n">
        <f aca="false">'PLANILLA PARA MATERIA'!AF38</f>
        <v>0</v>
      </c>
    </row>
    <row r="32" customFormat="false" ht="12.75" hidden="false" customHeight="true" outlineLevel="0" collapsed="false">
      <c r="A32" s="187" t="n">
        <v>31</v>
      </c>
      <c r="B32" s="189"/>
      <c r="C32" s="190"/>
      <c r="D32" s="0" t="n">
        <f aca="false">'PLANILLA PARA MATERIA'!B39</f>
        <v>0</v>
      </c>
      <c r="E32" s="191" t="n">
        <f aca="false">'PLANILLA PARA MATERIA'!K39</f>
        <v>0</v>
      </c>
      <c r="F32" s="191" t="n">
        <f aca="false">'PLANILLA PARA MATERIA'!R39</f>
        <v>0</v>
      </c>
      <c r="G32" s="191" t="n">
        <f aca="false">'PLANILLA PARA MATERIA'!Y39</f>
        <v>0</v>
      </c>
      <c r="H32" s="191" t="n">
        <f aca="false">'PLANILLA PARA MATERIA'!AF39</f>
        <v>0</v>
      </c>
    </row>
    <row r="33" customFormat="false" ht="12.75" hidden="false" customHeight="true" outlineLevel="0" collapsed="false">
      <c r="A33" s="192" t="n">
        <v>32</v>
      </c>
      <c r="B33" s="189"/>
      <c r="C33" s="190"/>
      <c r="D33" s="0" t="n">
        <f aca="false">'PLANILLA PARA MATERIA'!B40</f>
        <v>0</v>
      </c>
      <c r="E33" s="191" t="n">
        <f aca="false">'PLANILLA PARA MATERIA'!K40</f>
        <v>0</v>
      </c>
      <c r="F33" s="191" t="n">
        <f aca="false">'PLANILLA PARA MATERIA'!R40</f>
        <v>0</v>
      </c>
      <c r="G33" s="191" t="n">
        <f aca="false">'PLANILLA PARA MATERIA'!Y40</f>
        <v>0</v>
      </c>
      <c r="H33" s="191" t="n">
        <f aca="false">'PLANILLA PARA MATERIA'!AF40</f>
        <v>0</v>
      </c>
    </row>
    <row r="34" customFormat="false" ht="12.75" hidden="false" customHeight="true" outlineLevel="0" collapsed="false">
      <c r="A34" s="187" t="n">
        <v>33</v>
      </c>
      <c r="B34" s="189"/>
      <c r="C34" s="190"/>
      <c r="D34" s="0" t="n">
        <f aca="false">'PLANILLA PARA MATERIA'!B41</f>
        <v>0</v>
      </c>
      <c r="E34" s="191" t="n">
        <f aca="false">'PLANILLA PARA MATERIA'!K41</f>
        <v>0</v>
      </c>
      <c r="F34" s="191" t="n">
        <f aca="false">'PLANILLA PARA MATERIA'!R41</f>
        <v>0</v>
      </c>
      <c r="G34" s="191" t="n">
        <f aca="false">'PLANILLA PARA MATERIA'!Y41</f>
        <v>0</v>
      </c>
      <c r="H34" s="191" t="n">
        <f aca="false">'PLANILLA PARA MATERIA'!AF41</f>
        <v>0</v>
      </c>
    </row>
    <row r="35" customFormat="false" ht="12.75" hidden="false" customHeight="true" outlineLevel="0" collapsed="false">
      <c r="A35" s="192" t="n">
        <v>34</v>
      </c>
      <c r="B35" s="189"/>
      <c r="C35" s="190"/>
      <c r="D35" s="0" t="n">
        <f aca="false">'PLANILLA PARA MATERIA'!B42</f>
        <v>0</v>
      </c>
      <c r="E35" s="191" t="n">
        <f aca="false">'PLANILLA PARA MATERIA'!K42</f>
        <v>0</v>
      </c>
      <c r="F35" s="191" t="n">
        <f aca="false">'PLANILLA PARA MATERIA'!R42</f>
        <v>0</v>
      </c>
      <c r="G35" s="191" t="n">
        <f aca="false">'PLANILLA PARA MATERIA'!Y42</f>
        <v>0</v>
      </c>
      <c r="H35" s="191" t="n">
        <f aca="false">'PLANILLA PARA MATERIA'!AF42</f>
        <v>0</v>
      </c>
    </row>
    <row r="36" customFormat="false" ht="12.75" hidden="false" customHeight="true" outlineLevel="0" collapsed="false">
      <c r="A36" s="187" t="n">
        <v>35</v>
      </c>
      <c r="B36" s="189"/>
      <c r="C36" s="190"/>
      <c r="D36" s="0" t="n">
        <f aca="false">'PLANILLA PARA MATERIA'!B43</f>
        <v>0</v>
      </c>
      <c r="E36" s="191" t="n">
        <f aca="false">'PLANILLA PARA MATERIA'!K43</f>
        <v>0</v>
      </c>
      <c r="F36" s="191" t="n">
        <f aca="false">'PLANILLA PARA MATERIA'!R43</f>
        <v>0</v>
      </c>
      <c r="G36" s="191" t="n">
        <f aca="false">'PLANILLA PARA MATERIA'!Y43</f>
        <v>0</v>
      </c>
      <c r="H36" s="191" t="n">
        <f aca="false">'PLANILLA PARA MATERIA'!AF43</f>
        <v>0</v>
      </c>
    </row>
    <row r="37" customFormat="false" ht="12.75" hidden="false" customHeight="true" outlineLevel="0" collapsed="false">
      <c r="A37" s="192" t="n">
        <v>36</v>
      </c>
      <c r="B37" s="189"/>
      <c r="C37" s="190"/>
      <c r="D37" s="0" t="n">
        <f aca="false">'PLANILLA PARA MATERIA'!B44</f>
        <v>0</v>
      </c>
      <c r="E37" s="191" t="n">
        <f aca="false">'PLANILLA PARA MATERIA'!K44</f>
        <v>0</v>
      </c>
      <c r="F37" s="191" t="n">
        <f aca="false">'PLANILLA PARA MATERIA'!R44</f>
        <v>0</v>
      </c>
      <c r="G37" s="191" t="n">
        <f aca="false">'PLANILLA PARA MATERIA'!Y44</f>
        <v>0</v>
      </c>
      <c r="H37" s="191" t="n">
        <f aca="false">'PLANILLA PARA MATERIA'!AF44</f>
        <v>0</v>
      </c>
    </row>
    <row r="38" customFormat="false" ht="12.75" hidden="false" customHeight="true" outlineLevel="0" collapsed="false">
      <c r="A38" s="187" t="n">
        <v>37</v>
      </c>
      <c r="B38" s="189"/>
      <c r="C38" s="190"/>
      <c r="D38" s="0" t="n">
        <f aca="false">'PLANILLA PARA MATERIA'!B45</f>
        <v>0</v>
      </c>
      <c r="E38" s="191" t="n">
        <f aca="false">'PLANILLA PARA MATERIA'!K45</f>
        <v>0</v>
      </c>
      <c r="F38" s="191" t="n">
        <f aca="false">'PLANILLA PARA MATERIA'!R45</f>
        <v>0</v>
      </c>
      <c r="G38" s="191" t="n">
        <f aca="false">'PLANILLA PARA MATERIA'!Y45</f>
        <v>0</v>
      </c>
      <c r="H38" s="191" t="n">
        <f aca="false">'PLANILLA PARA MATERIA'!AF45</f>
        <v>0</v>
      </c>
    </row>
    <row r="39" customFormat="false" ht="12.75" hidden="false" customHeight="true" outlineLevel="0" collapsed="false">
      <c r="A39" s="192" t="n">
        <v>38</v>
      </c>
      <c r="B39" s="189"/>
      <c r="C39" s="190"/>
      <c r="D39" s="0" t="n">
        <f aca="false">'PLANILLA PARA MATERIA'!B46</f>
        <v>0</v>
      </c>
      <c r="E39" s="191" t="n">
        <f aca="false">'PLANILLA PARA MATERIA'!K46</f>
        <v>0</v>
      </c>
      <c r="F39" s="191" t="n">
        <f aca="false">'PLANILLA PARA MATERIA'!R46</f>
        <v>0</v>
      </c>
      <c r="G39" s="191" t="n">
        <f aca="false">'PLANILLA PARA MATERIA'!Y46</f>
        <v>0</v>
      </c>
      <c r="H39" s="191" t="n">
        <f aca="false">'PLANILLA PARA MATERIA'!AF46</f>
        <v>0</v>
      </c>
    </row>
    <row r="40" customFormat="false" ht="12.75" hidden="false" customHeight="true" outlineLevel="0" collapsed="false">
      <c r="A40" s="187" t="n">
        <v>39</v>
      </c>
      <c r="B40" s="189"/>
      <c r="C40" s="190"/>
      <c r="D40" s="0" t="n">
        <f aca="false">'PLANILLA PARA MATERIA'!B47</f>
        <v>0</v>
      </c>
      <c r="E40" s="191" t="n">
        <f aca="false">'PLANILLA PARA MATERIA'!K47</f>
        <v>0</v>
      </c>
      <c r="F40" s="191" t="n">
        <f aca="false">'PLANILLA PARA MATERIA'!R47</f>
        <v>0</v>
      </c>
      <c r="G40" s="191" t="n">
        <f aca="false">'PLANILLA PARA MATERIA'!Y47</f>
        <v>0</v>
      </c>
      <c r="H40" s="191" t="n">
        <f aca="false">'PLANILLA PARA MATERIA'!AF47</f>
        <v>0</v>
      </c>
    </row>
    <row r="41" customFormat="false" ht="12.75" hidden="false" customHeight="true" outlineLevel="0" collapsed="false">
      <c r="A41" s="192" t="n">
        <v>40</v>
      </c>
      <c r="B41" s="189"/>
      <c r="C41" s="190"/>
      <c r="D41" s="0" t="n">
        <f aca="false">'PLANILLA PARA MATERIA'!B48</f>
        <v>0</v>
      </c>
      <c r="E41" s="191" t="n">
        <f aca="false">'PLANILLA PARA MATERIA'!K48</f>
        <v>0</v>
      </c>
      <c r="F41" s="191" t="n">
        <f aca="false">'PLANILLA PARA MATERIA'!R48</f>
        <v>0</v>
      </c>
      <c r="G41" s="191" t="n">
        <f aca="false">'PLANILLA PARA MATERIA'!Y48</f>
        <v>0</v>
      </c>
      <c r="H41" s="191" t="n">
        <f aca="false">'PLANILLA PARA MATERIA'!AF48</f>
        <v>0</v>
      </c>
    </row>
    <row r="42" customFormat="false" ht="12.75" hidden="false" customHeight="true" outlineLevel="0" collapsed="false">
      <c r="A42" s="187" t="n">
        <v>41</v>
      </c>
      <c r="B42" s="189"/>
      <c r="C42" s="190"/>
      <c r="D42" s="0" t="n">
        <f aca="false">'PLANILLA PARA MATERIA'!B49</f>
        <v>0</v>
      </c>
      <c r="E42" s="191" t="n">
        <f aca="false">'PLANILLA PARA MATERIA'!K49</f>
        <v>0</v>
      </c>
      <c r="F42" s="191" t="n">
        <f aca="false">'PLANILLA PARA MATERIA'!R49</f>
        <v>0</v>
      </c>
      <c r="G42" s="191" t="n">
        <f aca="false">'PLANILLA PARA MATERIA'!Y49</f>
        <v>0</v>
      </c>
      <c r="H42" s="191" t="n">
        <f aca="false">'PLANILLA PARA MATERIA'!AF49</f>
        <v>0</v>
      </c>
    </row>
    <row r="43" customFormat="false" ht="12.75" hidden="false" customHeight="true" outlineLevel="0" collapsed="false">
      <c r="A43" s="192" t="n">
        <v>42</v>
      </c>
      <c r="B43" s="189"/>
      <c r="C43" s="190"/>
      <c r="D43" s="0" t="n">
        <f aca="false">'PLANILLA PARA MATERIA'!B50</f>
        <v>0</v>
      </c>
      <c r="E43" s="191" t="n">
        <f aca="false">'PLANILLA PARA MATERIA'!K50</f>
        <v>0</v>
      </c>
      <c r="F43" s="191" t="n">
        <f aca="false">'PLANILLA PARA MATERIA'!R50</f>
        <v>0</v>
      </c>
      <c r="G43" s="191" t="n">
        <f aca="false">'PLANILLA PARA MATERIA'!Y50</f>
        <v>0</v>
      </c>
      <c r="H43" s="191" t="n">
        <f aca="false">'PLANILLA PARA MATERIA'!AF50</f>
        <v>0</v>
      </c>
    </row>
    <row r="44" customFormat="false" ht="12.75" hidden="false" customHeight="true" outlineLevel="0" collapsed="false">
      <c r="A44" s="187" t="n">
        <v>43</v>
      </c>
      <c r="B44" s="189"/>
      <c r="C44" s="190"/>
      <c r="D44" s="0" t="n">
        <f aca="false">'PLANILLA PARA MATERIA'!B51</f>
        <v>0</v>
      </c>
      <c r="E44" s="191" t="n">
        <f aca="false">'PLANILLA PARA MATERIA'!K51</f>
        <v>0</v>
      </c>
      <c r="F44" s="191" t="n">
        <f aca="false">'PLANILLA PARA MATERIA'!R51</f>
        <v>0</v>
      </c>
      <c r="G44" s="191" t="n">
        <f aca="false">'PLANILLA PARA MATERIA'!Y51</f>
        <v>0</v>
      </c>
      <c r="H44" s="191" t="n">
        <f aca="false">'PLANILLA PARA MATERIA'!AF51</f>
        <v>0</v>
      </c>
    </row>
    <row r="45" customFormat="false" ht="12.75" hidden="false" customHeight="true" outlineLevel="0" collapsed="false">
      <c r="A45" s="192" t="n">
        <v>44</v>
      </c>
      <c r="B45" s="189"/>
      <c r="C45" s="190"/>
      <c r="D45" s="0" t="n">
        <f aca="false">'PLANILLA PARA MATERIA'!B52</f>
        <v>0</v>
      </c>
      <c r="E45" s="191" t="n">
        <f aca="false">'PLANILLA PARA MATERIA'!K52</f>
        <v>0</v>
      </c>
      <c r="F45" s="191" t="n">
        <f aca="false">'PLANILLA PARA MATERIA'!R52</f>
        <v>0</v>
      </c>
      <c r="G45" s="191" t="n">
        <f aca="false">'PLANILLA PARA MATERIA'!Y52</f>
        <v>0</v>
      </c>
      <c r="H45" s="191" t="n">
        <f aca="false">'PLANILLA PARA MATERIA'!AF52</f>
        <v>0</v>
      </c>
    </row>
    <row r="46" customFormat="false" ht="12.75" hidden="false" customHeight="true" outlineLevel="0" collapsed="false">
      <c r="A46" s="187" t="n">
        <v>45</v>
      </c>
      <c r="B46" s="189"/>
      <c r="C46" s="190"/>
      <c r="D46" s="0" t="n">
        <f aca="false">'PLANILLA PARA MATERIA'!B53</f>
        <v>0</v>
      </c>
      <c r="E46" s="191" t="n">
        <f aca="false">'PLANILLA PARA MATERIA'!K53</f>
        <v>0</v>
      </c>
      <c r="F46" s="191" t="n">
        <f aca="false">'PLANILLA PARA MATERIA'!R53</f>
        <v>0</v>
      </c>
      <c r="G46" s="191" t="n">
        <f aca="false">'PLANILLA PARA MATERIA'!Y53</f>
        <v>0</v>
      </c>
      <c r="H46" s="191" t="n">
        <f aca="false">'PLANILLA PARA MATERIA'!AF53</f>
        <v>0</v>
      </c>
    </row>
    <row r="47" customFormat="false" ht="12.75" hidden="false" customHeight="true" outlineLevel="0" collapsed="false">
      <c r="A47" s="192" t="n">
        <v>46</v>
      </c>
      <c r="B47" s="189"/>
      <c r="C47" s="190"/>
      <c r="D47" s="0" t="n">
        <f aca="false">'PLANILLA PARA MATERIA'!B54</f>
        <v>0</v>
      </c>
      <c r="E47" s="191" t="n">
        <f aca="false">'PLANILLA PARA MATERIA'!K54</f>
        <v>0</v>
      </c>
      <c r="F47" s="191" t="n">
        <f aca="false">'PLANILLA PARA MATERIA'!R54</f>
        <v>0</v>
      </c>
      <c r="G47" s="191" t="n">
        <f aca="false">'PLANILLA PARA MATERIA'!Y54</f>
        <v>0</v>
      </c>
      <c r="H47" s="191" t="n">
        <f aca="false">'PLANILLA PARA MATERIA'!AF54</f>
        <v>0</v>
      </c>
    </row>
    <row r="48" customFormat="false" ht="12.75" hidden="false" customHeight="true" outlineLevel="0" collapsed="false">
      <c r="A48" s="187" t="n">
        <v>47</v>
      </c>
      <c r="B48" s="189"/>
      <c r="C48" s="190"/>
      <c r="D48" s="0" t="n">
        <f aca="false">'PLANILLA PARA MATERIA'!B55</f>
        <v>0</v>
      </c>
      <c r="E48" s="191" t="n">
        <f aca="false">'PLANILLA PARA MATERIA'!K55</f>
        <v>0</v>
      </c>
      <c r="F48" s="191" t="n">
        <f aca="false">'PLANILLA PARA MATERIA'!R55</f>
        <v>0</v>
      </c>
      <c r="G48" s="191" t="n">
        <f aca="false">'PLANILLA PARA MATERIA'!Y55</f>
        <v>0</v>
      </c>
      <c r="H48" s="191" t="n">
        <f aca="false">'PLANILLA PARA MATERIA'!AF55</f>
        <v>0</v>
      </c>
    </row>
    <row r="49" customFormat="false" ht="12.75" hidden="false" customHeight="true" outlineLevel="0" collapsed="false">
      <c r="A49" s="192" t="n">
        <v>48</v>
      </c>
      <c r="B49" s="189"/>
      <c r="C49" s="190"/>
      <c r="D49" s="0" t="n">
        <f aca="false">'PLANILLA PARA MATERIA'!B56</f>
        <v>0</v>
      </c>
      <c r="E49" s="191" t="n">
        <f aca="false">'PLANILLA PARA MATERIA'!K56</f>
        <v>0</v>
      </c>
      <c r="F49" s="191" t="n">
        <f aca="false">'PLANILLA PARA MATERIA'!R56</f>
        <v>0</v>
      </c>
      <c r="G49" s="191" t="n">
        <f aca="false">'PLANILLA PARA MATERIA'!Y56</f>
        <v>0</v>
      </c>
      <c r="H49" s="191" t="n">
        <f aca="false">'PLANILLA PARA MATERIA'!AF56</f>
        <v>0</v>
      </c>
    </row>
    <row r="50" customFormat="false" ht="12.75" hidden="false" customHeight="true" outlineLevel="0" collapsed="false">
      <c r="A50" s="187" t="n">
        <v>49</v>
      </c>
      <c r="B50" s="189"/>
      <c r="C50" s="190"/>
      <c r="D50" s="0" t="n">
        <f aca="false">'PLANILLA PARA MATERIA'!B57</f>
        <v>0</v>
      </c>
      <c r="E50" s="191" t="n">
        <f aca="false">'PLANILLA PARA MATERIA'!K57</f>
        <v>0</v>
      </c>
      <c r="F50" s="191" t="n">
        <f aca="false">'PLANILLA PARA MATERIA'!R57</f>
        <v>0</v>
      </c>
      <c r="G50" s="191" t="n">
        <f aca="false">'PLANILLA PARA MATERIA'!Y57</f>
        <v>0</v>
      </c>
      <c r="H50" s="191" t="n">
        <f aca="false">'PLANILLA PARA MATERIA'!AF57</f>
        <v>0</v>
      </c>
    </row>
    <row r="51" customFormat="false" ht="12.75" hidden="false" customHeight="true" outlineLevel="0" collapsed="false">
      <c r="A51" s="192" t="n">
        <v>50</v>
      </c>
      <c r="B51" s="189"/>
      <c r="C51" s="190"/>
      <c r="D51" s="0" t="n">
        <f aca="false">'PLANILLA PARA MATERIA'!B58</f>
        <v>0</v>
      </c>
      <c r="E51" s="191" t="n">
        <f aca="false">'PLANILLA PARA MATERIA'!K58</f>
        <v>0</v>
      </c>
      <c r="F51" s="191" t="n">
        <f aca="false">'PLANILLA PARA MATERIA'!R58</f>
        <v>0</v>
      </c>
      <c r="G51" s="191" t="n">
        <f aca="false">'PLANILLA PARA MATERIA'!Y58</f>
        <v>0</v>
      </c>
      <c r="H51" s="191" t="n">
        <f aca="false">'PLANILLA PARA MATERIA'!AF58</f>
        <v>0</v>
      </c>
    </row>
    <row r="52" customFormat="false" ht="12.75" hidden="false" customHeight="true" outlineLevel="0" collapsed="false">
      <c r="A52" s="187" t="n">
        <v>51</v>
      </c>
      <c r="B52" s="189"/>
      <c r="C52" s="190"/>
      <c r="D52" s="0" t="n">
        <f aca="false">'PLANILLA PARA MATERIA'!B59</f>
        <v>0</v>
      </c>
      <c r="E52" s="191" t="n">
        <f aca="false">'PLANILLA PARA MATERIA'!K59</f>
        <v>0</v>
      </c>
      <c r="F52" s="191" t="n">
        <f aca="false">'PLANILLA PARA MATERIA'!R59</f>
        <v>0</v>
      </c>
      <c r="G52" s="191" t="n">
        <f aca="false">'PLANILLA PARA MATERIA'!Y59</f>
        <v>0</v>
      </c>
      <c r="H52" s="191" t="n">
        <f aca="false">'PLANILLA PARA MATERIA'!AF59</f>
        <v>0</v>
      </c>
    </row>
    <row r="53" customFormat="false" ht="12.75" hidden="false" customHeight="true" outlineLevel="0" collapsed="false">
      <c r="A53" s="192" t="n">
        <v>52</v>
      </c>
      <c r="B53" s="189"/>
      <c r="C53" s="190"/>
      <c r="D53" s="0" t="n">
        <f aca="false">'PLANILLA PARA MATERIA'!B60</f>
        <v>0</v>
      </c>
      <c r="E53" s="191" t="n">
        <f aca="false">'PLANILLA PARA MATERIA'!K60</f>
        <v>0</v>
      </c>
      <c r="F53" s="191" t="n">
        <f aca="false">'PLANILLA PARA MATERIA'!R60</f>
        <v>0</v>
      </c>
      <c r="G53" s="191" t="n">
        <f aca="false">'PLANILLA PARA MATERIA'!Y60</f>
        <v>0</v>
      </c>
      <c r="H53" s="191" t="n">
        <f aca="false">'PLANILLA PARA MATERIA'!AF60</f>
        <v>0</v>
      </c>
    </row>
    <row r="54" customFormat="false" ht="12.75" hidden="false" customHeight="true" outlineLevel="0" collapsed="false">
      <c r="A54" s="187" t="n">
        <v>53</v>
      </c>
      <c r="B54" s="189"/>
      <c r="C54" s="190"/>
      <c r="D54" s="0" t="n">
        <f aca="false">'PLANILLA PARA MATERIA'!B61</f>
        <v>0</v>
      </c>
      <c r="E54" s="191" t="n">
        <f aca="false">'PLANILLA PARA MATERIA'!K61</f>
        <v>0</v>
      </c>
      <c r="F54" s="191" t="n">
        <f aca="false">'PLANILLA PARA MATERIA'!R61</f>
        <v>0</v>
      </c>
      <c r="G54" s="191" t="n">
        <f aca="false">'PLANILLA PARA MATERIA'!Y61</f>
        <v>0</v>
      </c>
      <c r="H54" s="191" t="n">
        <f aca="false">'PLANILLA PARA MATERIA'!AF61</f>
        <v>0</v>
      </c>
    </row>
    <row r="55" customFormat="false" ht="12.75" hidden="false" customHeight="true" outlineLevel="0" collapsed="false">
      <c r="A55" s="192" t="n">
        <v>54</v>
      </c>
      <c r="B55" s="189"/>
      <c r="C55" s="190"/>
      <c r="D55" s="0" t="n">
        <f aca="false">'PLANILLA PARA MATERIA'!B62</f>
        <v>0</v>
      </c>
      <c r="E55" s="191" t="n">
        <f aca="false">'PLANILLA PARA MATERIA'!K62</f>
        <v>0</v>
      </c>
      <c r="F55" s="191" t="n">
        <f aca="false">'PLANILLA PARA MATERIA'!R62</f>
        <v>0</v>
      </c>
      <c r="G55" s="191" t="n">
        <f aca="false">'PLANILLA PARA MATERIA'!Y62</f>
        <v>0</v>
      </c>
      <c r="H55" s="191" t="n">
        <f aca="false">'PLANILLA PARA MATERIA'!AF62</f>
        <v>0</v>
      </c>
    </row>
    <row r="56" customFormat="false" ht="12.75" hidden="false" customHeight="true" outlineLevel="0" collapsed="false">
      <c r="A56" s="187" t="n">
        <v>55</v>
      </c>
      <c r="B56" s="189"/>
      <c r="C56" s="190"/>
      <c r="D56" s="0" t="n">
        <f aca="false">'PLANILLA PARA MATERIA'!B63</f>
        <v>0</v>
      </c>
      <c r="E56" s="191" t="n">
        <f aca="false">'PLANILLA PARA MATERIA'!K63</f>
        <v>0</v>
      </c>
      <c r="F56" s="191" t="n">
        <f aca="false">'PLANILLA PARA MATERIA'!R63</f>
        <v>0</v>
      </c>
      <c r="G56" s="191" t="n">
        <f aca="false">'PLANILLA PARA MATERIA'!Y63</f>
        <v>0</v>
      </c>
      <c r="H56" s="191" t="n">
        <f aca="false">'PLANILLA PARA MATERIA'!AF63</f>
        <v>0</v>
      </c>
    </row>
  </sheetData>
  <sheetProtection sheet="true" objects="true" scenarios="true"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N4" activeCellId="1" sqref="W10:W36 N4"/>
    </sheetView>
  </sheetViews>
  <sheetFormatPr defaultColWidth="9.13671875" defaultRowHeight="12.75" customHeight="true" zeroHeight="false" outlineLevelRow="0" outlineLevelCol="0"/>
  <cols>
    <col collapsed="false" customWidth="true" hidden="false" outlineLevel="0" max="1" min="1" style="0" width="3.14"/>
    <col collapsed="false" customWidth="true" hidden="false" outlineLevel="0" max="2" min="2" style="0" width="11.7"/>
    <col collapsed="false" customWidth="true" hidden="false" outlineLevel="0" max="3" min="3" style="0" width="35.7"/>
    <col collapsed="false" customWidth="true" hidden="false" outlineLevel="0" max="22" min="5" style="0" width="5.71"/>
  </cols>
  <sheetData>
    <row r="1" customFormat="false" ht="18.75" hidden="false" customHeight="true" outlineLevel="0" collapsed="false">
      <c r="A1" s="193" t="s">
        <v>67</v>
      </c>
      <c r="B1" s="193"/>
      <c r="C1" s="193"/>
      <c r="D1" s="193"/>
      <c r="E1" s="193"/>
      <c r="F1" s="193"/>
      <c r="G1" s="193"/>
      <c r="H1" s="193"/>
      <c r="I1" s="193"/>
      <c r="J1" s="193"/>
      <c r="K1" s="193"/>
      <c r="L1" s="193"/>
      <c r="M1" s="193"/>
      <c r="N1" s="193"/>
      <c r="O1" s="193"/>
      <c r="P1" s="193"/>
      <c r="Q1" s="193"/>
      <c r="R1" s="193"/>
      <c r="S1" s="193"/>
      <c r="T1" s="193"/>
      <c r="U1" s="193"/>
      <c r="V1" s="194"/>
    </row>
    <row r="2" customFormat="false" ht="18.75" hidden="false" customHeight="true" outlineLevel="0" collapsed="false">
      <c r="A2" s="193" t="s">
        <v>68</v>
      </c>
      <c r="B2" s="193"/>
      <c r="C2" s="193"/>
      <c r="D2" s="193"/>
      <c r="E2" s="193"/>
      <c r="F2" s="193"/>
      <c r="G2" s="193"/>
      <c r="H2" s="193"/>
      <c r="I2" s="193"/>
      <c r="J2" s="193"/>
      <c r="K2" s="193"/>
      <c r="L2" s="193"/>
      <c r="M2" s="193"/>
      <c r="N2" s="193"/>
      <c r="O2" s="193"/>
      <c r="P2" s="193"/>
      <c r="Q2" s="193"/>
      <c r="R2" s="193"/>
      <c r="S2" s="193"/>
      <c r="T2" s="193"/>
      <c r="U2" s="193"/>
      <c r="V2" s="194"/>
    </row>
    <row r="3" customFormat="false" ht="12.75" hidden="false" customHeight="true" outlineLevel="0" collapsed="false">
      <c r="A3" s="195" t="s">
        <v>69</v>
      </c>
      <c r="B3" s="195"/>
      <c r="C3" s="195"/>
      <c r="D3" s="195"/>
      <c r="E3" s="195"/>
      <c r="F3" s="195" t="s">
        <v>70</v>
      </c>
      <c r="G3" s="195"/>
      <c r="H3" s="195"/>
      <c r="I3" s="195"/>
      <c r="J3" s="195"/>
      <c r="K3" s="195"/>
      <c r="L3" s="195"/>
      <c r="M3" s="196" t="s">
        <v>71</v>
      </c>
      <c r="N3" s="197" t="n">
        <v>2026</v>
      </c>
      <c r="O3" s="197"/>
      <c r="P3" s="195"/>
      <c r="Q3" s="195"/>
      <c r="R3" s="195"/>
      <c r="S3" s="195"/>
      <c r="T3" s="195"/>
      <c r="U3" s="195"/>
      <c r="V3" s="195"/>
    </row>
    <row r="4" customFormat="false" ht="12.75" hidden="false" customHeight="true" outlineLevel="0" collapsed="false">
      <c r="A4" s="198" t="s">
        <v>72</v>
      </c>
      <c r="B4" s="198"/>
      <c r="C4" s="198"/>
      <c r="D4" s="199"/>
      <c r="E4" s="199"/>
      <c r="F4" s="199"/>
      <c r="G4" s="199"/>
      <c r="H4" s="199"/>
      <c r="I4" s="199"/>
      <c r="J4" s="199"/>
      <c r="K4" s="195"/>
      <c r="L4" s="200" t="s">
        <v>8</v>
      </c>
      <c r="M4" s="195"/>
      <c r="N4" s="201" t="s">
        <v>73</v>
      </c>
      <c r="O4" s="195"/>
      <c r="P4" s="195"/>
      <c r="Q4" s="195"/>
      <c r="R4" s="195"/>
      <c r="S4" s="195"/>
      <c r="T4" s="195"/>
      <c r="U4" s="195"/>
      <c r="V4" s="195"/>
    </row>
    <row r="5" customFormat="false" ht="12.75" hidden="false" customHeight="true" outlineLevel="0" collapsed="false">
      <c r="A5" s="202" t="s">
        <v>74</v>
      </c>
      <c r="B5" s="202"/>
      <c r="C5" s="202"/>
      <c r="D5" s="203" t="s">
        <v>75</v>
      </c>
      <c r="E5" s="203"/>
      <c r="F5" s="203"/>
      <c r="G5" s="203"/>
      <c r="H5" s="203"/>
      <c r="I5" s="203"/>
      <c r="J5" s="203"/>
      <c r="K5" s="203"/>
      <c r="L5" s="203"/>
      <c r="M5" s="203"/>
      <c r="N5" s="203"/>
      <c r="O5" s="203"/>
      <c r="P5" s="203"/>
      <c r="Q5" s="203"/>
      <c r="R5" s="203"/>
      <c r="S5" s="203"/>
      <c r="T5" s="203"/>
      <c r="U5" s="203"/>
      <c r="V5" s="195"/>
    </row>
    <row r="6" customFormat="false" ht="13.5" hidden="false" customHeight="true" outlineLevel="0" collapsed="false">
      <c r="A6" s="204" t="s">
        <v>76</v>
      </c>
      <c r="B6" s="204"/>
      <c r="C6" s="204"/>
      <c r="D6" s="205"/>
      <c r="E6" s="205"/>
      <c r="F6" s="205"/>
      <c r="G6" s="205"/>
      <c r="H6" s="205"/>
      <c r="I6" s="205"/>
      <c r="J6" s="205"/>
      <c r="K6" s="205"/>
      <c r="L6" s="205"/>
      <c r="M6" s="205"/>
      <c r="N6" s="200" t="s">
        <v>77</v>
      </c>
      <c r="O6" s="195"/>
      <c r="P6" s="195"/>
      <c r="Q6" s="195"/>
      <c r="R6" s="195"/>
      <c r="S6" s="201"/>
      <c r="T6" s="206"/>
      <c r="U6" s="195"/>
      <c r="V6" s="195"/>
    </row>
    <row r="7" customFormat="false" ht="13.5" hidden="false" customHeight="true" outlineLevel="0" collapsed="false">
      <c r="A7" s="207" t="s">
        <v>78</v>
      </c>
      <c r="B7" s="208" t="s">
        <v>23</v>
      </c>
      <c r="C7" s="207" t="s">
        <v>24</v>
      </c>
      <c r="D7" s="209" t="s">
        <v>79</v>
      </c>
      <c r="E7" s="210" t="s">
        <v>80</v>
      </c>
      <c r="F7" s="210"/>
      <c r="G7" s="210"/>
      <c r="H7" s="210"/>
      <c r="I7" s="210"/>
      <c r="J7" s="210" t="s">
        <v>81</v>
      </c>
      <c r="K7" s="210"/>
      <c r="L7" s="210"/>
      <c r="M7" s="210"/>
      <c r="N7" s="210"/>
      <c r="O7" s="211" t="s">
        <v>82</v>
      </c>
      <c r="P7" s="211"/>
      <c r="Q7" s="211"/>
      <c r="R7" s="211"/>
      <c r="S7" s="211"/>
      <c r="T7" s="212" t="s">
        <v>83</v>
      </c>
      <c r="U7" s="212"/>
      <c r="V7" s="213" t="s">
        <v>84</v>
      </c>
    </row>
    <row r="8" customFormat="false" ht="65.25" hidden="false" customHeight="true" outlineLevel="0" collapsed="false">
      <c r="A8" s="207"/>
      <c r="B8" s="208"/>
      <c r="C8" s="207"/>
      <c r="D8" s="209"/>
      <c r="E8" s="214" t="s">
        <v>82</v>
      </c>
      <c r="F8" s="214" t="s">
        <v>85</v>
      </c>
      <c r="G8" s="214" t="s">
        <v>86</v>
      </c>
      <c r="H8" s="214" t="s">
        <v>83</v>
      </c>
      <c r="I8" s="215" t="n">
        <v>0.25</v>
      </c>
      <c r="J8" s="214" t="s">
        <v>82</v>
      </c>
      <c r="K8" s="214" t="s">
        <v>85</v>
      </c>
      <c r="L8" s="214" t="s">
        <v>86</v>
      </c>
      <c r="M8" s="214" t="s">
        <v>83</v>
      </c>
      <c r="N8" s="215" t="n">
        <v>0.5</v>
      </c>
      <c r="O8" s="214" t="s">
        <v>82</v>
      </c>
      <c r="P8" s="214" t="s">
        <v>85</v>
      </c>
      <c r="Q8" s="214" t="s">
        <v>86</v>
      </c>
      <c r="R8" s="214" t="s">
        <v>83</v>
      </c>
      <c r="S8" s="215" t="n">
        <v>0.25</v>
      </c>
      <c r="T8" s="216" t="s">
        <v>87</v>
      </c>
      <c r="U8" s="217" t="s">
        <v>88</v>
      </c>
      <c r="V8" s="213"/>
    </row>
    <row r="9" customFormat="false" ht="14.25" hidden="false" customHeight="true" outlineLevel="0" collapsed="false">
      <c r="A9" s="218" t="n">
        <v>1</v>
      </c>
      <c r="B9" s="219" t="n">
        <v>19770108</v>
      </c>
      <c r="C9" s="220" t="s">
        <v>89</v>
      </c>
      <c r="D9" s="221" t="s">
        <v>38</v>
      </c>
      <c r="E9" s="222"/>
      <c r="F9" s="222"/>
      <c r="G9" s="222"/>
      <c r="H9" s="223" t="n">
        <f aca="false">(E9+F9+G9)/3</f>
        <v>0</v>
      </c>
      <c r="I9" s="224" t="n">
        <f aca="false">H9*0.125</f>
        <v>0</v>
      </c>
      <c r="J9" s="222"/>
      <c r="K9" s="222"/>
      <c r="L9" s="222"/>
      <c r="M9" s="223" t="n">
        <f aca="false">(J9+K9+L9)/3</f>
        <v>0</v>
      </c>
      <c r="N9" s="224" t="n">
        <f aca="false">M9*0.25</f>
        <v>0</v>
      </c>
      <c r="O9" s="222"/>
      <c r="P9" s="222"/>
      <c r="Q9" s="222"/>
      <c r="R9" s="223" t="n">
        <f aca="false">(O9+P9+Q9)/3</f>
        <v>0</v>
      </c>
      <c r="S9" s="224" t="n">
        <f aca="false">R9*0.125</f>
        <v>0</v>
      </c>
      <c r="T9" s="225" t="n">
        <f aca="false">(I9+N9+S9)</f>
        <v>0</v>
      </c>
      <c r="U9" s="226"/>
      <c r="V9" s="110" t="n">
        <f aca="false">IF(U9&lt;=0,T9,(T9+U9)/2)</f>
        <v>0</v>
      </c>
    </row>
    <row r="10" customFormat="false" ht="14.25" hidden="false" customHeight="true" outlineLevel="0" collapsed="false">
      <c r="A10" s="227" t="n">
        <v>2</v>
      </c>
      <c r="B10" s="219" t="n">
        <v>3669191</v>
      </c>
      <c r="C10" s="220" t="s">
        <v>90</v>
      </c>
      <c r="D10" s="221" t="s">
        <v>39</v>
      </c>
      <c r="E10" s="222"/>
      <c r="F10" s="222"/>
      <c r="G10" s="222"/>
      <c r="H10" s="223" t="n">
        <f aca="false">(E10+F10+G10)/3</f>
        <v>0</v>
      </c>
      <c r="I10" s="224" t="n">
        <f aca="false">H10*0.125</f>
        <v>0</v>
      </c>
      <c r="J10" s="222"/>
      <c r="K10" s="222"/>
      <c r="L10" s="222"/>
      <c r="M10" s="223" t="n">
        <f aca="false">(J10+K10+L10)/3</f>
        <v>0</v>
      </c>
      <c r="N10" s="224" t="n">
        <f aca="false">M10*0.25</f>
        <v>0</v>
      </c>
      <c r="O10" s="222"/>
      <c r="P10" s="222"/>
      <c r="Q10" s="222"/>
      <c r="R10" s="223" t="n">
        <f aca="false">(O10+P10+Q10)/3</f>
        <v>0</v>
      </c>
      <c r="S10" s="224" t="n">
        <f aca="false">R10*0.125</f>
        <v>0</v>
      </c>
      <c r="T10" s="225" t="n">
        <f aca="false">(I10+N10+S10)</f>
        <v>0</v>
      </c>
      <c r="U10" s="226"/>
      <c r="V10" s="110" t="n">
        <f aca="false">IF(U10&lt;=0,T10,(T10+U10)/2)</f>
        <v>0</v>
      </c>
    </row>
    <row r="11" customFormat="false" ht="14.25" hidden="false" customHeight="true" outlineLevel="0" collapsed="false">
      <c r="A11" s="218" t="n">
        <v>3</v>
      </c>
      <c r="B11" s="219" t="n">
        <v>19913116</v>
      </c>
      <c r="C11" s="220" t="s">
        <v>91</v>
      </c>
      <c r="D11" s="221" t="s">
        <v>39</v>
      </c>
      <c r="E11" s="222"/>
      <c r="F11" s="222"/>
      <c r="G11" s="222"/>
      <c r="H11" s="223" t="n">
        <f aca="false">(E11+F11+G11)/3</f>
        <v>0</v>
      </c>
      <c r="I11" s="224" t="n">
        <f aca="false">H11*0.125</f>
        <v>0</v>
      </c>
      <c r="J11" s="222"/>
      <c r="K11" s="222"/>
      <c r="L11" s="222"/>
      <c r="M11" s="223" t="n">
        <f aca="false">(J11+K11+L11)/3</f>
        <v>0</v>
      </c>
      <c r="N11" s="224" t="n">
        <f aca="false">M11*0.25</f>
        <v>0</v>
      </c>
      <c r="O11" s="222"/>
      <c r="P11" s="222"/>
      <c r="Q11" s="222"/>
      <c r="R11" s="223" t="n">
        <f aca="false">(O11+P11+Q11)/3</f>
        <v>0</v>
      </c>
      <c r="S11" s="224" t="n">
        <f aca="false">R11*0.125</f>
        <v>0</v>
      </c>
      <c r="T11" s="225" t="n">
        <f aca="false">(I11+N11+S11)</f>
        <v>0</v>
      </c>
      <c r="U11" s="226"/>
      <c r="V11" s="110" t="n">
        <f aca="false">IF(U11&lt;=0,T11,(T11+U11)/2)</f>
        <v>0</v>
      </c>
    </row>
    <row r="12" customFormat="false" ht="14.25" hidden="false" customHeight="true" outlineLevel="0" collapsed="false">
      <c r="A12" s="227" t="n">
        <v>4</v>
      </c>
      <c r="B12" s="219" t="n">
        <v>19769700</v>
      </c>
      <c r="C12" s="220" t="s">
        <v>92</v>
      </c>
      <c r="D12" s="221" t="s">
        <v>38</v>
      </c>
      <c r="E12" s="222"/>
      <c r="F12" s="222"/>
      <c r="G12" s="222"/>
      <c r="H12" s="223" t="n">
        <f aca="false">(E12+F12+G12)/3</f>
        <v>0</v>
      </c>
      <c r="I12" s="224" t="n">
        <f aca="false">H12*0.125</f>
        <v>0</v>
      </c>
      <c r="J12" s="222"/>
      <c r="K12" s="222"/>
      <c r="L12" s="222"/>
      <c r="M12" s="223" t="n">
        <f aca="false">(J12+K12+L12)/3</f>
        <v>0</v>
      </c>
      <c r="N12" s="224" t="n">
        <f aca="false">M12*0.25</f>
        <v>0</v>
      </c>
      <c r="O12" s="222"/>
      <c r="P12" s="222"/>
      <c r="Q12" s="222"/>
      <c r="R12" s="223" t="n">
        <f aca="false">(O12+P12+Q12)/3</f>
        <v>0</v>
      </c>
      <c r="S12" s="224" t="n">
        <f aca="false">R12*0.125</f>
        <v>0</v>
      </c>
      <c r="T12" s="225" t="n">
        <f aca="false">(I12+N12+S12)</f>
        <v>0</v>
      </c>
      <c r="U12" s="226"/>
      <c r="V12" s="110" t="n">
        <f aca="false">IF(U12&lt;=0,T12,(T12+U12)/2)</f>
        <v>0</v>
      </c>
    </row>
    <row r="13" customFormat="false" ht="14.25" hidden="false" customHeight="true" outlineLevel="0" collapsed="false">
      <c r="A13" s="218" t="n">
        <v>5</v>
      </c>
      <c r="B13" s="219" t="n">
        <v>19769732</v>
      </c>
      <c r="C13" s="220" t="s">
        <v>93</v>
      </c>
      <c r="D13" s="221" t="s">
        <v>38</v>
      </c>
      <c r="E13" s="222"/>
      <c r="F13" s="222"/>
      <c r="G13" s="222"/>
      <c r="H13" s="223" t="n">
        <f aca="false">(E13+F13+G13)/3</f>
        <v>0</v>
      </c>
      <c r="I13" s="224" t="n">
        <f aca="false">H13*0.125</f>
        <v>0</v>
      </c>
      <c r="J13" s="222"/>
      <c r="K13" s="222"/>
      <c r="L13" s="222"/>
      <c r="M13" s="223" t="n">
        <f aca="false">(J13+K13+L13)/3</f>
        <v>0</v>
      </c>
      <c r="N13" s="224" t="n">
        <f aca="false">M13*0.25</f>
        <v>0</v>
      </c>
      <c r="O13" s="222"/>
      <c r="P13" s="222"/>
      <c r="Q13" s="222"/>
      <c r="R13" s="223" t="n">
        <f aca="false">(O13+P13+Q13)/3</f>
        <v>0</v>
      </c>
      <c r="S13" s="224" t="n">
        <f aca="false">R13*0.125</f>
        <v>0</v>
      </c>
      <c r="T13" s="225" t="n">
        <f aca="false">(I13+N13+S13)</f>
        <v>0</v>
      </c>
      <c r="U13" s="226"/>
      <c r="V13" s="110" t="n">
        <f aca="false">IF(U13&lt;=0,T13,(T13+U13)/2)</f>
        <v>0</v>
      </c>
    </row>
    <row r="14" customFormat="false" ht="14.25" hidden="false" customHeight="true" outlineLevel="0" collapsed="false">
      <c r="A14" s="227" t="n">
        <v>6</v>
      </c>
      <c r="B14" s="219" t="n">
        <v>19769682</v>
      </c>
      <c r="C14" s="220" t="s">
        <v>94</v>
      </c>
      <c r="D14" s="221" t="s">
        <v>38</v>
      </c>
      <c r="E14" s="222"/>
      <c r="F14" s="222"/>
      <c r="G14" s="222"/>
      <c r="H14" s="223" t="n">
        <f aca="false">(E14+F14+G14)/3</f>
        <v>0</v>
      </c>
      <c r="I14" s="224" t="n">
        <f aca="false">H14*0.125</f>
        <v>0</v>
      </c>
      <c r="J14" s="222"/>
      <c r="K14" s="222"/>
      <c r="L14" s="222"/>
      <c r="M14" s="223" t="n">
        <f aca="false">(J14+K14+L14)/3</f>
        <v>0</v>
      </c>
      <c r="N14" s="224" t="n">
        <f aca="false">M14*0.25</f>
        <v>0</v>
      </c>
      <c r="O14" s="222"/>
      <c r="P14" s="222"/>
      <c r="Q14" s="222"/>
      <c r="R14" s="223" t="n">
        <f aca="false">(O14+P14+Q14)/3</f>
        <v>0</v>
      </c>
      <c r="S14" s="224" t="n">
        <f aca="false">R14*0.125</f>
        <v>0</v>
      </c>
      <c r="T14" s="225" t="n">
        <f aca="false">(I14+N14+S14)</f>
        <v>0</v>
      </c>
      <c r="U14" s="226"/>
      <c r="V14" s="110" t="n">
        <f aca="false">IF(U14&lt;=0,T14,(T14+U14)/2)</f>
        <v>0</v>
      </c>
    </row>
    <row r="15" customFormat="false" ht="14.25" hidden="false" customHeight="true" outlineLevel="0" collapsed="false">
      <c r="A15" s="218" t="n">
        <v>7</v>
      </c>
      <c r="B15" s="219" t="n">
        <v>19913170</v>
      </c>
      <c r="C15" s="220" t="s">
        <v>95</v>
      </c>
      <c r="D15" s="221" t="s">
        <v>39</v>
      </c>
      <c r="E15" s="222"/>
      <c r="F15" s="222"/>
      <c r="G15" s="222"/>
      <c r="H15" s="223" t="n">
        <f aca="false">(E15+F15+G15)/3</f>
        <v>0</v>
      </c>
      <c r="I15" s="224" t="n">
        <f aca="false">H15*0.125</f>
        <v>0</v>
      </c>
      <c r="J15" s="222"/>
      <c r="K15" s="222"/>
      <c r="L15" s="222"/>
      <c r="M15" s="223" t="n">
        <f aca="false">(J15+K15+L15)/3</f>
        <v>0</v>
      </c>
      <c r="N15" s="224" t="n">
        <f aca="false">M15*0.25</f>
        <v>0</v>
      </c>
      <c r="O15" s="222"/>
      <c r="P15" s="222"/>
      <c r="Q15" s="222"/>
      <c r="R15" s="223" t="n">
        <f aca="false">(O15+P15+Q15)/3</f>
        <v>0</v>
      </c>
      <c r="S15" s="224" t="n">
        <f aca="false">R15*0.125</f>
        <v>0</v>
      </c>
      <c r="T15" s="225" t="n">
        <f aca="false">(I15+N15+S15)</f>
        <v>0</v>
      </c>
      <c r="U15" s="226"/>
      <c r="V15" s="110" t="n">
        <f aca="false">IF(U15&lt;=0,T15,(T15+U15)/2)</f>
        <v>0</v>
      </c>
    </row>
    <row r="16" customFormat="false" ht="14.25" hidden="false" customHeight="true" outlineLevel="0" collapsed="false">
      <c r="A16" s="227" t="n">
        <v>8</v>
      </c>
      <c r="B16" s="219" t="n">
        <v>5059703</v>
      </c>
      <c r="C16" s="220" t="s">
        <v>96</v>
      </c>
      <c r="D16" s="221" t="s">
        <v>39</v>
      </c>
      <c r="E16" s="222"/>
      <c r="F16" s="222"/>
      <c r="G16" s="222"/>
      <c r="H16" s="223" t="n">
        <f aca="false">(E16+F16+G16)/3</f>
        <v>0</v>
      </c>
      <c r="I16" s="224" t="n">
        <f aca="false">H16*0.125</f>
        <v>0</v>
      </c>
      <c r="J16" s="222"/>
      <c r="K16" s="222"/>
      <c r="L16" s="222"/>
      <c r="M16" s="223" t="n">
        <f aca="false">(J16+K16+L16)/3</f>
        <v>0</v>
      </c>
      <c r="N16" s="224" t="n">
        <f aca="false">M16*0.25</f>
        <v>0</v>
      </c>
      <c r="O16" s="222"/>
      <c r="P16" s="222"/>
      <c r="Q16" s="222"/>
      <c r="R16" s="223" t="n">
        <f aca="false">(O16+P16+Q16)/3</f>
        <v>0</v>
      </c>
      <c r="S16" s="224" t="n">
        <f aca="false">R16*0.125</f>
        <v>0</v>
      </c>
      <c r="T16" s="225" t="n">
        <f aca="false">(I16+N16+S16)</f>
        <v>0</v>
      </c>
      <c r="U16" s="226"/>
      <c r="V16" s="110" t="n">
        <f aca="false">IF(U16&lt;=0,T16,(T16+U16)/2)</f>
        <v>0</v>
      </c>
    </row>
    <row r="17" customFormat="false" ht="14.25" hidden="false" customHeight="true" outlineLevel="0" collapsed="false">
      <c r="A17" s="218" t="n">
        <v>9</v>
      </c>
      <c r="B17" s="219" t="n">
        <v>19770269</v>
      </c>
      <c r="C17" s="220" t="s">
        <v>97</v>
      </c>
      <c r="D17" s="221" t="s">
        <v>39</v>
      </c>
      <c r="E17" s="222"/>
      <c r="F17" s="222"/>
      <c r="G17" s="222"/>
      <c r="H17" s="223" t="n">
        <f aca="false">(E17+F17+G17)/3</f>
        <v>0</v>
      </c>
      <c r="I17" s="224" t="n">
        <f aca="false">H17*0.125</f>
        <v>0</v>
      </c>
      <c r="J17" s="222"/>
      <c r="K17" s="222"/>
      <c r="L17" s="222"/>
      <c r="M17" s="223" t="n">
        <f aca="false">(J17+K17+L17)/3</f>
        <v>0</v>
      </c>
      <c r="N17" s="224" t="n">
        <f aca="false">M17*0.25</f>
        <v>0</v>
      </c>
      <c r="O17" s="222"/>
      <c r="P17" s="222"/>
      <c r="Q17" s="222"/>
      <c r="R17" s="223" t="n">
        <f aca="false">(O17+P17+Q17)/3</f>
        <v>0</v>
      </c>
      <c r="S17" s="224" t="n">
        <f aca="false">R17*0.125</f>
        <v>0</v>
      </c>
      <c r="T17" s="225" t="n">
        <f aca="false">(I17+N17+S17)</f>
        <v>0</v>
      </c>
      <c r="U17" s="226"/>
      <c r="V17" s="110" t="n">
        <f aca="false">IF(U17&lt;=0,T17,(T17+U17)/2)</f>
        <v>0</v>
      </c>
    </row>
    <row r="18" customFormat="false" ht="14.25" hidden="false" customHeight="true" outlineLevel="0" collapsed="false">
      <c r="A18" s="227" t="n">
        <v>10</v>
      </c>
      <c r="B18" s="219" t="n">
        <v>20238015</v>
      </c>
      <c r="C18" s="220" t="s">
        <v>98</v>
      </c>
      <c r="D18" s="221" t="s">
        <v>38</v>
      </c>
      <c r="E18" s="222"/>
      <c r="F18" s="222"/>
      <c r="G18" s="222"/>
      <c r="H18" s="223" t="n">
        <f aca="false">(E18+F18+G18)/3</f>
        <v>0</v>
      </c>
      <c r="I18" s="224" t="n">
        <f aca="false">H18*0.125</f>
        <v>0</v>
      </c>
      <c r="J18" s="222"/>
      <c r="K18" s="222"/>
      <c r="L18" s="222"/>
      <c r="M18" s="223" t="n">
        <f aca="false">(J18+K18+L18)/3</f>
        <v>0</v>
      </c>
      <c r="N18" s="224" t="n">
        <f aca="false">M18*0.25</f>
        <v>0</v>
      </c>
      <c r="O18" s="222"/>
      <c r="P18" s="222"/>
      <c r="Q18" s="222"/>
      <c r="R18" s="223" t="n">
        <f aca="false">(O18+P18+Q18)/3</f>
        <v>0</v>
      </c>
      <c r="S18" s="224" t="n">
        <f aca="false">R18*0.125</f>
        <v>0</v>
      </c>
      <c r="T18" s="225" t="n">
        <f aca="false">(I18+N18+S18)</f>
        <v>0</v>
      </c>
      <c r="U18" s="226"/>
      <c r="V18" s="110" t="n">
        <f aca="false">IF(U18&lt;=0,T18,(T18+U18)/2)</f>
        <v>0</v>
      </c>
    </row>
    <row r="19" customFormat="false" ht="14.25" hidden="false" customHeight="true" outlineLevel="0" collapsed="false">
      <c r="A19" s="218" t="n">
        <v>11</v>
      </c>
      <c r="B19" s="219" t="n">
        <v>19846395</v>
      </c>
      <c r="C19" s="220" t="s">
        <v>99</v>
      </c>
      <c r="D19" s="221" t="s">
        <v>39</v>
      </c>
      <c r="E19" s="222"/>
      <c r="F19" s="222"/>
      <c r="G19" s="222"/>
      <c r="H19" s="223" t="n">
        <f aca="false">(E19+F19+G19)/3</f>
        <v>0</v>
      </c>
      <c r="I19" s="224" t="n">
        <f aca="false">H19*0.125</f>
        <v>0</v>
      </c>
      <c r="J19" s="222"/>
      <c r="K19" s="222"/>
      <c r="L19" s="222"/>
      <c r="M19" s="223" t="n">
        <f aca="false">(J19+K19+L19)/3</f>
        <v>0</v>
      </c>
      <c r="N19" s="224" t="n">
        <f aca="false">M19*0.25</f>
        <v>0</v>
      </c>
      <c r="O19" s="222"/>
      <c r="P19" s="222"/>
      <c r="Q19" s="222"/>
      <c r="R19" s="223" t="n">
        <f aca="false">(O19+P19+Q19)/3</f>
        <v>0</v>
      </c>
      <c r="S19" s="224" t="n">
        <f aca="false">R19*0.125</f>
        <v>0</v>
      </c>
      <c r="T19" s="225" t="n">
        <f aca="false">(I19+N19+S19)</f>
        <v>0</v>
      </c>
      <c r="U19" s="226"/>
      <c r="V19" s="110" t="n">
        <f aca="false">IF(U19&lt;=0,T19,(T19+U19)/2)</f>
        <v>0</v>
      </c>
    </row>
    <row r="20" customFormat="false" ht="14.25" hidden="false" customHeight="true" outlineLevel="0" collapsed="false">
      <c r="A20" s="227" t="n">
        <v>12</v>
      </c>
      <c r="B20" s="219" t="n">
        <v>19913145</v>
      </c>
      <c r="C20" s="220" t="s">
        <v>100</v>
      </c>
      <c r="D20" s="221" t="s">
        <v>39</v>
      </c>
      <c r="E20" s="222"/>
      <c r="F20" s="222"/>
      <c r="G20" s="222"/>
      <c r="H20" s="223" t="n">
        <f aca="false">(E20+F20+G20)/3</f>
        <v>0</v>
      </c>
      <c r="I20" s="224" t="n">
        <f aca="false">H20*0.125</f>
        <v>0</v>
      </c>
      <c r="J20" s="222"/>
      <c r="K20" s="222"/>
      <c r="L20" s="222"/>
      <c r="M20" s="223" t="n">
        <f aca="false">(J20+K20+L20)/3</f>
        <v>0</v>
      </c>
      <c r="N20" s="224" t="n">
        <f aca="false">M20*0.25</f>
        <v>0</v>
      </c>
      <c r="O20" s="222"/>
      <c r="P20" s="222"/>
      <c r="Q20" s="222"/>
      <c r="R20" s="223" t="n">
        <f aca="false">(O20+P20+Q20)/3</f>
        <v>0</v>
      </c>
      <c r="S20" s="224" t="n">
        <f aca="false">R20*0.125</f>
        <v>0</v>
      </c>
      <c r="T20" s="225" t="n">
        <f aca="false">(I20+N20+S20)</f>
        <v>0</v>
      </c>
      <c r="U20" s="226"/>
      <c r="V20" s="110" t="n">
        <f aca="false">IF(U20&lt;=0,T20,(T20+U20)/2)</f>
        <v>0</v>
      </c>
    </row>
    <row r="21" customFormat="false" ht="14.25" hidden="false" customHeight="true" outlineLevel="0" collapsed="false">
      <c r="A21" s="218" t="n">
        <v>13</v>
      </c>
      <c r="B21" s="219" t="n">
        <v>19769931</v>
      </c>
      <c r="C21" s="220" t="s">
        <v>101</v>
      </c>
      <c r="D21" s="221" t="s">
        <v>38</v>
      </c>
      <c r="E21" s="222"/>
      <c r="F21" s="222"/>
      <c r="G21" s="222"/>
      <c r="H21" s="223" t="n">
        <f aca="false">(E21+F21+G21)/3</f>
        <v>0</v>
      </c>
      <c r="I21" s="224" t="n">
        <f aca="false">H21*0.125</f>
        <v>0</v>
      </c>
      <c r="J21" s="222"/>
      <c r="K21" s="222"/>
      <c r="L21" s="222"/>
      <c r="M21" s="223" t="n">
        <f aca="false">(J21+K21+L21)/3</f>
        <v>0</v>
      </c>
      <c r="N21" s="224" t="n">
        <f aca="false">M21*0.25</f>
        <v>0</v>
      </c>
      <c r="O21" s="222"/>
      <c r="P21" s="222"/>
      <c r="Q21" s="222"/>
      <c r="R21" s="223" t="n">
        <f aca="false">(O21+P21+Q21)/3</f>
        <v>0</v>
      </c>
      <c r="S21" s="224" t="n">
        <f aca="false">R21*0.125</f>
        <v>0</v>
      </c>
      <c r="T21" s="225" t="n">
        <f aca="false">(I21+N21+S21)</f>
        <v>0</v>
      </c>
      <c r="U21" s="226"/>
      <c r="V21" s="110" t="n">
        <f aca="false">IF(U21&lt;=0,T21,(T21+U21)/2)</f>
        <v>0</v>
      </c>
    </row>
    <row r="22" customFormat="false" ht="14.25" hidden="false" customHeight="true" outlineLevel="0" collapsed="false">
      <c r="A22" s="227" t="n">
        <v>14</v>
      </c>
      <c r="B22" s="219" t="n">
        <v>3669150</v>
      </c>
      <c r="C22" s="220" t="s">
        <v>102</v>
      </c>
      <c r="D22" s="221" t="s">
        <v>38</v>
      </c>
      <c r="E22" s="222"/>
      <c r="F22" s="222"/>
      <c r="G22" s="222"/>
      <c r="H22" s="223" t="n">
        <f aca="false">(E22+F22+G22)/3</f>
        <v>0</v>
      </c>
      <c r="I22" s="224" t="n">
        <f aca="false">H22*0.125</f>
        <v>0</v>
      </c>
      <c r="J22" s="222"/>
      <c r="K22" s="222"/>
      <c r="L22" s="222"/>
      <c r="M22" s="223" t="n">
        <f aca="false">(J22+K22+L22)/3</f>
        <v>0</v>
      </c>
      <c r="N22" s="224" t="n">
        <f aca="false">M22*0.25</f>
        <v>0</v>
      </c>
      <c r="O22" s="222"/>
      <c r="P22" s="222"/>
      <c r="Q22" s="222"/>
      <c r="R22" s="223" t="n">
        <f aca="false">(O22+P22+Q22)/3</f>
        <v>0</v>
      </c>
      <c r="S22" s="224" t="n">
        <f aca="false">R22*0.125</f>
        <v>0</v>
      </c>
      <c r="T22" s="225" t="n">
        <f aca="false">(I22+N22+S22)</f>
        <v>0</v>
      </c>
      <c r="U22" s="226"/>
      <c r="V22" s="110" t="n">
        <f aca="false">IF(U22&lt;=0,T22,(T22+U22)/2)</f>
        <v>0</v>
      </c>
    </row>
    <row r="23" customFormat="false" ht="14.25" hidden="false" customHeight="true" outlineLevel="0" collapsed="false">
      <c r="A23" s="218" t="n">
        <v>15</v>
      </c>
      <c r="B23" s="219" t="n">
        <v>19913258</v>
      </c>
      <c r="C23" s="220" t="s">
        <v>103</v>
      </c>
      <c r="D23" s="221" t="s">
        <v>39</v>
      </c>
      <c r="E23" s="222"/>
      <c r="F23" s="222"/>
      <c r="G23" s="222"/>
      <c r="H23" s="223" t="n">
        <f aca="false">(E23+F23+G23)/3</f>
        <v>0</v>
      </c>
      <c r="I23" s="224" t="n">
        <f aca="false">H23*0.125</f>
        <v>0</v>
      </c>
      <c r="J23" s="222"/>
      <c r="K23" s="222"/>
      <c r="L23" s="222"/>
      <c r="M23" s="223" t="n">
        <f aca="false">(J23+K23+L23)/3</f>
        <v>0</v>
      </c>
      <c r="N23" s="224" t="n">
        <f aca="false">M23*0.25</f>
        <v>0</v>
      </c>
      <c r="O23" s="222"/>
      <c r="P23" s="222"/>
      <c r="Q23" s="222"/>
      <c r="R23" s="223" t="n">
        <f aca="false">(O23+P23+Q23)/3</f>
        <v>0</v>
      </c>
      <c r="S23" s="224" t="n">
        <f aca="false">R23*0.125</f>
        <v>0</v>
      </c>
      <c r="T23" s="225" t="n">
        <f aca="false">(I23+N23+S23)</f>
        <v>0</v>
      </c>
      <c r="U23" s="226"/>
      <c r="V23" s="110" t="n">
        <f aca="false">IF(U23&lt;=0,T23,(T23+U23)/2)</f>
        <v>0</v>
      </c>
    </row>
    <row r="24" customFormat="false" ht="14.25" hidden="false" customHeight="true" outlineLevel="0" collapsed="false">
      <c r="A24" s="227" t="n">
        <v>16</v>
      </c>
      <c r="B24" s="219" t="n">
        <v>3669163</v>
      </c>
      <c r="C24" s="220" t="s">
        <v>104</v>
      </c>
      <c r="D24" s="221" t="s">
        <v>38</v>
      </c>
      <c r="E24" s="222"/>
      <c r="F24" s="222"/>
      <c r="G24" s="222"/>
      <c r="H24" s="223" t="n">
        <f aca="false">(E24+F24+G24)/3</f>
        <v>0</v>
      </c>
      <c r="I24" s="224" t="n">
        <f aca="false">H24*0.125</f>
        <v>0</v>
      </c>
      <c r="J24" s="222"/>
      <c r="K24" s="222"/>
      <c r="L24" s="222"/>
      <c r="M24" s="223" t="n">
        <f aca="false">(J24+K24+L24)/3</f>
        <v>0</v>
      </c>
      <c r="N24" s="224" t="n">
        <f aca="false">M24*0.25</f>
        <v>0</v>
      </c>
      <c r="O24" s="222"/>
      <c r="P24" s="222"/>
      <c r="Q24" s="222"/>
      <c r="R24" s="223" t="n">
        <f aca="false">(O24+P24+Q24)/3</f>
        <v>0</v>
      </c>
      <c r="S24" s="224" t="n">
        <f aca="false">R24*0.125</f>
        <v>0</v>
      </c>
      <c r="T24" s="225" t="n">
        <f aca="false">(I24+N24+S24)</f>
        <v>0</v>
      </c>
      <c r="U24" s="226"/>
      <c r="V24" s="110" t="n">
        <f aca="false">IF(U24&lt;=0,T24,(T24+U24)/2)</f>
        <v>0</v>
      </c>
    </row>
    <row r="25" customFormat="false" ht="14.25" hidden="false" customHeight="true" outlineLevel="0" collapsed="false">
      <c r="A25" s="218" t="n">
        <v>17</v>
      </c>
      <c r="B25" s="219" t="n">
        <v>19770150</v>
      </c>
      <c r="C25" s="220" t="s">
        <v>105</v>
      </c>
      <c r="D25" s="221" t="s">
        <v>38</v>
      </c>
      <c r="E25" s="222"/>
      <c r="F25" s="222"/>
      <c r="G25" s="222"/>
      <c r="H25" s="223" t="n">
        <f aca="false">(E25+F25+G25)/3</f>
        <v>0</v>
      </c>
      <c r="I25" s="224" t="n">
        <f aca="false">H25*0.125</f>
        <v>0</v>
      </c>
      <c r="J25" s="222"/>
      <c r="K25" s="222"/>
      <c r="L25" s="222"/>
      <c r="M25" s="223" t="n">
        <f aca="false">(J25+K25+L25)/3</f>
        <v>0</v>
      </c>
      <c r="N25" s="224" t="n">
        <f aca="false">M25*0.25</f>
        <v>0</v>
      </c>
      <c r="O25" s="222"/>
      <c r="P25" s="222"/>
      <c r="Q25" s="222"/>
      <c r="R25" s="223" t="n">
        <f aca="false">(O25+P25+Q25)/3</f>
        <v>0</v>
      </c>
      <c r="S25" s="224" t="n">
        <f aca="false">R25*0.125</f>
        <v>0</v>
      </c>
      <c r="T25" s="225" t="n">
        <f aca="false">(I25+N25+S25)</f>
        <v>0</v>
      </c>
      <c r="U25" s="226"/>
      <c r="V25" s="110" t="n">
        <f aca="false">IF(U25&lt;=0,T25,(T25+U25)/2)</f>
        <v>0</v>
      </c>
    </row>
    <row r="26" customFormat="false" ht="14.25" hidden="false" customHeight="true" outlineLevel="0" collapsed="false">
      <c r="A26" s="227" t="n">
        <v>18</v>
      </c>
      <c r="B26" s="219" t="n">
        <v>19913305</v>
      </c>
      <c r="C26" s="220" t="s">
        <v>106</v>
      </c>
      <c r="D26" s="221" t="s">
        <v>39</v>
      </c>
      <c r="E26" s="222"/>
      <c r="F26" s="222"/>
      <c r="G26" s="222"/>
      <c r="H26" s="223" t="n">
        <f aca="false">(E26+F26+G26)/3</f>
        <v>0</v>
      </c>
      <c r="I26" s="224" t="n">
        <f aca="false">H26*0.125</f>
        <v>0</v>
      </c>
      <c r="J26" s="222"/>
      <c r="K26" s="222"/>
      <c r="L26" s="222"/>
      <c r="M26" s="223" t="n">
        <f aca="false">(J26+K26+L26)/3</f>
        <v>0</v>
      </c>
      <c r="N26" s="224" t="n">
        <f aca="false">M26*0.25</f>
        <v>0</v>
      </c>
      <c r="O26" s="222"/>
      <c r="P26" s="222"/>
      <c r="Q26" s="222"/>
      <c r="R26" s="223" t="n">
        <f aca="false">(O26+P26+Q26)/3</f>
        <v>0</v>
      </c>
      <c r="S26" s="224" t="n">
        <f aca="false">R26*0.125</f>
        <v>0</v>
      </c>
      <c r="T26" s="225" t="n">
        <f aca="false">(I26+N26+S26)</f>
        <v>0</v>
      </c>
      <c r="U26" s="226"/>
      <c r="V26" s="110" t="n">
        <f aca="false">IF(U26&lt;=0,T26,(T26+U26)/2)</f>
        <v>0</v>
      </c>
    </row>
    <row r="27" customFormat="false" ht="14.25" hidden="false" customHeight="true" outlineLevel="0" collapsed="false">
      <c r="A27" s="218" t="n">
        <v>19</v>
      </c>
      <c r="B27" s="219" t="n">
        <v>19983921</v>
      </c>
      <c r="C27" s="220" t="s">
        <v>107</v>
      </c>
      <c r="D27" s="221" t="s">
        <v>39</v>
      </c>
      <c r="E27" s="222"/>
      <c r="F27" s="222"/>
      <c r="G27" s="222"/>
      <c r="H27" s="223" t="n">
        <f aca="false">(E27+F27+G27)/3</f>
        <v>0</v>
      </c>
      <c r="I27" s="224" t="n">
        <f aca="false">H27*0.125</f>
        <v>0</v>
      </c>
      <c r="J27" s="222"/>
      <c r="K27" s="222"/>
      <c r="L27" s="222"/>
      <c r="M27" s="223" t="n">
        <f aca="false">(J27+K27+L27)/3</f>
        <v>0</v>
      </c>
      <c r="N27" s="224" t="n">
        <f aca="false">M27*0.25</f>
        <v>0</v>
      </c>
      <c r="O27" s="222"/>
      <c r="P27" s="222"/>
      <c r="Q27" s="222"/>
      <c r="R27" s="223" t="n">
        <f aca="false">(O27+P27+Q27)/3</f>
        <v>0</v>
      </c>
      <c r="S27" s="224" t="n">
        <f aca="false">R27*0.125</f>
        <v>0</v>
      </c>
      <c r="T27" s="225" t="n">
        <f aca="false">(I27+N27+S27)</f>
        <v>0</v>
      </c>
      <c r="U27" s="226"/>
      <c r="V27" s="110" t="n">
        <f aca="false">IF(U27&lt;=0,T27,(T27+U27)/2)</f>
        <v>0</v>
      </c>
    </row>
    <row r="28" customFormat="false" ht="14.25" hidden="false" customHeight="true" outlineLevel="0" collapsed="false">
      <c r="A28" s="227" t="n">
        <v>20</v>
      </c>
      <c r="B28" s="219" t="n">
        <v>19770274</v>
      </c>
      <c r="C28" s="220" t="s">
        <v>108</v>
      </c>
      <c r="D28" s="221" t="s">
        <v>39</v>
      </c>
      <c r="E28" s="222"/>
      <c r="F28" s="222"/>
      <c r="G28" s="222"/>
      <c r="H28" s="223" t="n">
        <f aca="false">(E28+F28+G28)/3</f>
        <v>0</v>
      </c>
      <c r="I28" s="224" t="n">
        <f aca="false">H28*0.125</f>
        <v>0</v>
      </c>
      <c r="J28" s="222"/>
      <c r="K28" s="222"/>
      <c r="L28" s="222"/>
      <c r="M28" s="223" t="n">
        <f aca="false">(J28+K28+L28)/3</f>
        <v>0</v>
      </c>
      <c r="N28" s="224" t="n">
        <f aca="false">M28*0.25</f>
        <v>0</v>
      </c>
      <c r="O28" s="222"/>
      <c r="P28" s="222"/>
      <c r="Q28" s="222"/>
      <c r="R28" s="223" t="n">
        <f aca="false">(O28+P28+Q28)/3</f>
        <v>0</v>
      </c>
      <c r="S28" s="224" t="n">
        <f aca="false">R28*0.125</f>
        <v>0</v>
      </c>
      <c r="T28" s="225" t="n">
        <f aca="false">(I28+N28+S28)</f>
        <v>0</v>
      </c>
      <c r="U28" s="226"/>
      <c r="V28" s="110" t="n">
        <f aca="false">IF(U28&lt;=0,T28,(T28+U28)/2)</f>
        <v>0</v>
      </c>
    </row>
    <row r="29" customFormat="false" ht="14.25" hidden="false" customHeight="true" outlineLevel="0" collapsed="false">
      <c r="A29" s="218" t="n">
        <v>21</v>
      </c>
      <c r="B29" s="219" t="n">
        <v>19769851</v>
      </c>
      <c r="C29" s="220" t="s">
        <v>109</v>
      </c>
      <c r="D29" s="221" t="s">
        <v>38</v>
      </c>
      <c r="E29" s="222"/>
      <c r="F29" s="222"/>
      <c r="G29" s="222"/>
      <c r="H29" s="223" t="n">
        <f aca="false">(E29+F29+G29)/3</f>
        <v>0</v>
      </c>
      <c r="I29" s="224" t="n">
        <f aca="false">H29*0.125</f>
        <v>0</v>
      </c>
      <c r="J29" s="222"/>
      <c r="K29" s="222"/>
      <c r="L29" s="222"/>
      <c r="M29" s="223" t="n">
        <f aca="false">(J29+K29+L29)/3</f>
        <v>0</v>
      </c>
      <c r="N29" s="224" t="n">
        <f aca="false">M29*0.25</f>
        <v>0</v>
      </c>
      <c r="O29" s="222"/>
      <c r="P29" s="222"/>
      <c r="Q29" s="222"/>
      <c r="R29" s="223" t="n">
        <f aca="false">(O29+P29+Q29)/3</f>
        <v>0</v>
      </c>
      <c r="S29" s="224" t="n">
        <f aca="false">R29*0.125</f>
        <v>0</v>
      </c>
      <c r="T29" s="225" t="n">
        <f aca="false">(I29+N29+S29)</f>
        <v>0</v>
      </c>
      <c r="U29" s="226"/>
      <c r="V29" s="110" t="n">
        <f aca="false">IF(U29&lt;=0,T29,(T29+U29)/2)</f>
        <v>0</v>
      </c>
    </row>
    <row r="30" customFormat="false" ht="14.25" hidden="false" customHeight="true" outlineLevel="0" collapsed="false">
      <c r="A30" s="227" t="n">
        <v>22</v>
      </c>
      <c r="B30" s="219" t="n">
        <v>19913310</v>
      </c>
      <c r="C30" s="220" t="s">
        <v>110</v>
      </c>
      <c r="D30" s="221" t="s">
        <v>38</v>
      </c>
      <c r="E30" s="222"/>
      <c r="F30" s="222"/>
      <c r="G30" s="222"/>
      <c r="H30" s="223" t="n">
        <f aca="false">(E30+F30+G30)/3</f>
        <v>0</v>
      </c>
      <c r="I30" s="224" t="n">
        <f aca="false">H30*0.125</f>
        <v>0</v>
      </c>
      <c r="J30" s="222"/>
      <c r="K30" s="222"/>
      <c r="L30" s="222"/>
      <c r="M30" s="223" t="n">
        <f aca="false">(J30+K30+L30)/3</f>
        <v>0</v>
      </c>
      <c r="N30" s="224" t="n">
        <f aca="false">M30*0.25</f>
        <v>0</v>
      </c>
      <c r="O30" s="222"/>
      <c r="P30" s="222"/>
      <c r="Q30" s="222"/>
      <c r="R30" s="223" t="n">
        <f aca="false">(O30+P30+Q30)/3</f>
        <v>0</v>
      </c>
      <c r="S30" s="224" t="n">
        <f aca="false">R30*0.125</f>
        <v>0</v>
      </c>
      <c r="T30" s="225" t="n">
        <f aca="false">(I30+N30+S30)</f>
        <v>0</v>
      </c>
      <c r="U30" s="226"/>
      <c r="V30" s="110" t="n">
        <f aca="false">IF(U30&lt;=0,T30,(T30+U30)/2)</f>
        <v>0</v>
      </c>
    </row>
    <row r="31" customFormat="false" ht="14.25" hidden="false" customHeight="true" outlineLevel="0" collapsed="false">
      <c r="A31" s="218" t="n">
        <v>23</v>
      </c>
      <c r="B31" s="219" t="n">
        <v>19769690</v>
      </c>
      <c r="C31" s="220" t="s">
        <v>111</v>
      </c>
      <c r="D31" s="221" t="s">
        <v>38</v>
      </c>
      <c r="E31" s="222"/>
      <c r="F31" s="222"/>
      <c r="G31" s="222"/>
      <c r="H31" s="223" t="n">
        <f aca="false">(E31+F31+G31)/3</f>
        <v>0</v>
      </c>
      <c r="I31" s="224" t="n">
        <f aca="false">H31*0.125</f>
        <v>0</v>
      </c>
      <c r="J31" s="222"/>
      <c r="K31" s="222"/>
      <c r="L31" s="222"/>
      <c r="M31" s="223" t="n">
        <f aca="false">(J31+K31+L31)/3</f>
        <v>0</v>
      </c>
      <c r="N31" s="224" t="n">
        <f aca="false">M31*0.25</f>
        <v>0</v>
      </c>
      <c r="O31" s="222"/>
      <c r="P31" s="222"/>
      <c r="Q31" s="222"/>
      <c r="R31" s="223" t="n">
        <f aca="false">(O31+P31+Q31)/3</f>
        <v>0</v>
      </c>
      <c r="S31" s="224" t="n">
        <f aca="false">R31*0.125</f>
        <v>0</v>
      </c>
      <c r="T31" s="225" t="n">
        <f aca="false">(I31+N31+S31)</f>
        <v>0</v>
      </c>
      <c r="U31" s="226"/>
      <c r="V31" s="110" t="n">
        <f aca="false">IF(U31&lt;=0,T31,(T31+U31)/2)</f>
        <v>0</v>
      </c>
    </row>
    <row r="32" customFormat="false" ht="14.25" hidden="false" customHeight="true" outlineLevel="0" collapsed="false">
      <c r="A32" s="227" t="n">
        <v>24</v>
      </c>
      <c r="B32" s="219" t="n">
        <v>19770293</v>
      </c>
      <c r="C32" s="220" t="s">
        <v>112</v>
      </c>
      <c r="D32" s="221" t="s">
        <v>39</v>
      </c>
      <c r="E32" s="222"/>
      <c r="F32" s="222"/>
      <c r="G32" s="222"/>
      <c r="H32" s="223" t="n">
        <f aca="false">(E32+F32+G32)/3</f>
        <v>0</v>
      </c>
      <c r="I32" s="224" t="n">
        <f aca="false">H32*0.125</f>
        <v>0</v>
      </c>
      <c r="J32" s="222"/>
      <c r="K32" s="222"/>
      <c r="L32" s="222"/>
      <c r="M32" s="223" t="n">
        <f aca="false">(J32+K32+L32)/3</f>
        <v>0</v>
      </c>
      <c r="N32" s="224" t="n">
        <f aca="false">M32*0.25</f>
        <v>0</v>
      </c>
      <c r="O32" s="222"/>
      <c r="P32" s="222"/>
      <c r="Q32" s="222"/>
      <c r="R32" s="223" t="n">
        <f aca="false">(O32+P32+Q32)/3</f>
        <v>0</v>
      </c>
      <c r="S32" s="224" t="n">
        <f aca="false">R32*0.125</f>
        <v>0</v>
      </c>
      <c r="T32" s="225" t="n">
        <f aca="false">(I32+N32+S32)</f>
        <v>0</v>
      </c>
      <c r="U32" s="226"/>
      <c r="V32" s="110" t="n">
        <f aca="false">IF(U32&lt;=0,T32,(T32+U32)/2)</f>
        <v>0</v>
      </c>
    </row>
    <row r="33" customFormat="false" ht="14.25" hidden="false" customHeight="true" outlineLevel="0" collapsed="false">
      <c r="A33" s="218" t="n">
        <v>25</v>
      </c>
      <c r="B33" s="219" t="n">
        <v>20054579</v>
      </c>
      <c r="C33" s="220" t="s">
        <v>113</v>
      </c>
      <c r="D33" s="221" t="s">
        <v>39</v>
      </c>
      <c r="E33" s="222"/>
      <c r="F33" s="222"/>
      <c r="G33" s="222"/>
      <c r="H33" s="223" t="n">
        <f aca="false">(E33+F33+G33)/3</f>
        <v>0</v>
      </c>
      <c r="I33" s="224" t="n">
        <f aca="false">H33*0.125</f>
        <v>0</v>
      </c>
      <c r="J33" s="222"/>
      <c r="K33" s="222"/>
      <c r="L33" s="222"/>
      <c r="M33" s="223" t="n">
        <f aca="false">(J33+K33+L33)/3</f>
        <v>0</v>
      </c>
      <c r="N33" s="224" t="n">
        <f aca="false">M33*0.25</f>
        <v>0</v>
      </c>
      <c r="O33" s="222"/>
      <c r="P33" s="222"/>
      <c r="Q33" s="222"/>
      <c r="R33" s="223" t="n">
        <f aca="false">(O33+P33+Q33)/3</f>
        <v>0</v>
      </c>
      <c r="S33" s="224" t="n">
        <f aca="false">R33*0.125</f>
        <v>0</v>
      </c>
      <c r="T33" s="225" t="n">
        <f aca="false">(I33+N33+S33)</f>
        <v>0</v>
      </c>
      <c r="U33" s="226"/>
      <c r="V33" s="110" t="n">
        <f aca="false">IF(U33&lt;=0,T33,(T33+U33)/2)</f>
        <v>0</v>
      </c>
    </row>
    <row r="34" customFormat="false" ht="14.25" hidden="false" customHeight="true" outlineLevel="0" collapsed="false">
      <c r="A34" s="227" t="n">
        <v>26</v>
      </c>
      <c r="B34" s="219" t="n">
        <v>19769691</v>
      </c>
      <c r="C34" s="220" t="s">
        <v>114</v>
      </c>
      <c r="D34" s="221" t="s">
        <v>39</v>
      </c>
      <c r="E34" s="222"/>
      <c r="F34" s="222"/>
      <c r="G34" s="222"/>
      <c r="H34" s="223" t="n">
        <f aca="false">(E34+F34+G34)/3</f>
        <v>0</v>
      </c>
      <c r="I34" s="224" t="n">
        <f aca="false">H34*0.125</f>
        <v>0</v>
      </c>
      <c r="J34" s="222"/>
      <c r="K34" s="222"/>
      <c r="L34" s="222"/>
      <c r="M34" s="223" t="n">
        <f aca="false">(J34+K34+L34)/3</f>
        <v>0</v>
      </c>
      <c r="N34" s="224" t="n">
        <f aca="false">M34*0.25</f>
        <v>0</v>
      </c>
      <c r="O34" s="222"/>
      <c r="P34" s="222"/>
      <c r="Q34" s="222"/>
      <c r="R34" s="223" t="n">
        <f aca="false">(O34+P34+Q34)/3</f>
        <v>0</v>
      </c>
      <c r="S34" s="224" t="n">
        <f aca="false">R34*0.125</f>
        <v>0</v>
      </c>
      <c r="T34" s="225" t="n">
        <f aca="false">(I34+N34+S34)</f>
        <v>0</v>
      </c>
      <c r="U34" s="226"/>
      <c r="V34" s="110" t="n">
        <f aca="false">IF(U34&lt;=0,T34,(T34+U34)/2)</f>
        <v>0</v>
      </c>
    </row>
    <row r="35" customFormat="false" ht="14.25" hidden="false" customHeight="true" outlineLevel="0" collapsed="false">
      <c r="A35" s="218" t="n">
        <v>27</v>
      </c>
      <c r="B35" s="219" t="n">
        <v>19769956</v>
      </c>
      <c r="C35" s="220" t="s">
        <v>115</v>
      </c>
      <c r="D35" s="221" t="s">
        <v>38</v>
      </c>
      <c r="E35" s="222"/>
      <c r="F35" s="222"/>
      <c r="G35" s="222"/>
      <c r="H35" s="223" t="n">
        <f aca="false">(E35+F35+G35)/3</f>
        <v>0</v>
      </c>
      <c r="I35" s="224" t="n">
        <f aca="false">H35*0.125</f>
        <v>0</v>
      </c>
      <c r="J35" s="222"/>
      <c r="K35" s="222"/>
      <c r="L35" s="222"/>
      <c r="M35" s="223" t="n">
        <f aca="false">(J35+K35+L35)/3</f>
        <v>0</v>
      </c>
      <c r="N35" s="224" t="n">
        <f aca="false">M35*0.25</f>
        <v>0</v>
      </c>
      <c r="O35" s="222"/>
      <c r="P35" s="222"/>
      <c r="Q35" s="222"/>
      <c r="R35" s="223" t="n">
        <f aca="false">(O35+P35+Q35)/3</f>
        <v>0</v>
      </c>
      <c r="S35" s="224" t="n">
        <f aca="false">R35*0.125</f>
        <v>0</v>
      </c>
      <c r="T35" s="225" t="n">
        <f aca="false">(I35+N35+S35)</f>
        <v>0</v>
      </c>
      <c r="U35" s="226"/>
      <c r="V35" s="110" t="n">
        <f aca="false">IF(U35&lt;=0,T35,(T35+U35)/2)</f>
        <v>0</v>
      </c>
    </row>
    <row r="36" customFormat="false" ht="14.25" hidden="false" customHeight="true" outlineLevel="0" collapsed="false">
      <c r="A36" s="227" t="n">
        <v>28</v>
      </c>
      <c r="B36" s="219" t="n">
        <v>19770033</v>
      </c>
      <c r="C36" s="220" t="s">
        <v>116</v>
      </c>
      <c r="D36" s="221" t="s">
        <v>39</v>
      </c>
      <c r="E36" s="222"/>
      <c r="F36" s="222"/>
      <c r="G36" s="222"/>
      <c r="H36" s="223" t="n">
        <f aca="false">(E36+F36+G36)/3</f>
        <v>0</v>
      </c>
      <c r="I36" s="224" t="n">
        <f aca="false">H36*0.125</f>
        <v>0</v>
      </c>
      <c r="J36" s="222"/>
      <c r="K36" s="222"/>
      <c r="L36" s="222"/>
      <c r="M36" s="223" t="n">
        <f aca="false">(J36+K36+L36)/3</f>
        <v>0</v>
      </c>
      <c r="N36" s="224" t="n">
        <f aca="false">M36*0.25</f>
        <v>0</v>
      </c>
      <c r="O36" s="222"/>
      <c r="P36" s="222"/>
      <c r="Q36" s="222"/>
      <c r="R36" s="223" t="n">
        <f aca="false">(O36+P36+Q36)/3</f>
        <v>0</v>
      </c>
      <c r="S36" s="224" t="n">
        <f aca="false">R36*0.125</f>
        <v>0</v>
      </c>
      <c r="T36" s="225" t="n">
        <f aca="false">(I36+N36+S36)</f>
        <v>0</v>
      </c>
      <c r="U36" s="226"/>
      <c r="V36" s="110" t="n">
        <f aca="false">IF(U36&lt;=0,T36,(T36+U36)/2)</f>
        <v>0</v>
      </c>
    </row>
    <row r="37" customFormat="false" ht="14.25" hidden="false" customHeight="true" outlineLevel="0" collapsed="false">
      <c r="A37" s="218" t="n">
        <v>29</v>
      </c>
      <c r="B37" s="219"/>
      <c r="C37" s="220"/>
      <c r="D37" s="221"/>
      <c r="E37" s="222"/>
      <c r="F37" s="222"/>
      <c r="G37" s="222"/>
      <c r="H37" s="223" t="n">
        <f aca="false">(E37+F37+G37)/3</f>
        <v>0</v>
      </c>
      <c r="I37" s="224" t="n">
        <f aca="false">H37*0.125</f>
        <v>0</v>
      </c>
      <c r="J37" s="222"/>
      <c r="K37" s="222"/>
      <c r="L37" s="222"/>
      <c r="M37" s="223" t="n">
        <f aca="false">(J37+K37+L37)/3</f>
        <v>0</v>
      </c>
      <c r="N37" s="224" t="n">
        <f aca="false">M37*0.25</f>
        <v>0</v>
      </c>
      <c r="O37" s="222"/>
      <c r="P37" s="222"/>
      <c r="Q37" s="222"/>
      <c r="R37" s="223" t="n">
        <f aca="false">(O37+P37+Q37)/3</f>
        <v>0</v>
      </c>
      <c r="S37" s="224" t="n">
        <f aca="false">R37*0.125</f>
        <v>0</v>
      </c>
      <c r="T37" s="225" t="n">
        <f aca="false">(I37+N37+S37)</f>
        <v>0</v>
      </c>
      <c r="U37" s="226"/>
      <c r="V37" s="110" t="n">
        <f aca="false">IF(U37&lt;=0,T37,(T37+U37)/2)</f>
        <v>0</v>
      </c>
    </row>
    <row r="38" customFormat="false" ht="14.25" hidden="false" customHeight="true" outlineLevel="0" collapsed="false">
      <c r="A38" s="227" t="n">
        <v>30</v>
      </c>
      <c r="B38" s="219"/>
      <c r="C38" s="220"/>
      <c r="D38" s="221"/>
      <c r="E38" s="222"/>
      <c r="F38" s="222"/>
      <c r="G38" s="222"/>
      <c r="H38" s="223" t="n">
        <f aca="false">(E38+F38+G38)/3</f>
        <v>0</v>
      </c>
      <c r="I38" s="224" t="n">
        <f aca="false">H38*0.125</f>
        <v>0</v>
      </c>
      <c r="J38" s="222"/>
      <c r="K38" s="222"/>
      <c r="L38" s="222"/>
      <c r="M38" s="223" t="n">
        <f aca="false">(J38+K38+L38)/3</f>
        <v>0</v>
      </c>
      <c r="N38" s="224" t="n">
        <f aca="false">M38*0.25</f>
        <v>0</v>
      </c>
      <c r="O38" s="222"/>
      <c r="P38" s="222"/>
      <c r="Q38" s="222"/>
      <c r="R38" s="223" t="n">
        <f aca="false">(O38+P38+Q38)/3</f>
        <v>0</v>
      </c>
      <c r="S38" s="224" t="n">
        <f aca="false">R38*0.125</f>
        <v>0</v>
      </c>
      <c r="T38" s="225" t="n">
        <f aca="false">(I38+N38+S38)</f>
        <v>0</v>
      </c>
      <c r="U38" s="226"/>
      <c r="V38" s="110" t="n">
        <f aca="false">IF(U38&lt;=0,T38,(T38+U38)/2)</f>
        <v>0</v>
      </c>
    </row>
    <row r="39" customFormat="false" ht="14.25" hidden="false" customHeight="true" outlineLevel="0" collapsed="false">
      <c r="A39" s="218" t="n">
        <v>31</v>
      </c>
      <c r="B39" s="219"/>
      <c r="C39" s="220"/>
      <c r="D39" s="221"/>
      <c r="E39" s="222"/>
      <c r="F39" s="222"/>
      <c r="G39" s="222"/>
      <c r="H39" s="223" t="n">
        <f aca="false">(E39+F39+G39)/3</f>
        <v>0</v>
      </c>
      <c r="I39" s="224" t="n">
        <f aca="false">H39*0.125</f>
        <v>0</v>
      </c>
      <c r="J39" s="222"/>
      <c r="K39" s="222"/>
      <c r="L39" s="222"/>
      <c r="M39" s="223" t="n">
        <f aca="false">(J39+K39+L39)/3</f>
        <v>0</v>
      </c>
      <c r="N39" s="224" t="n">
        <f aca="false">M39*0.25</f>
        <v>0</v>
      </c>
      <c r="O39" s="222"/>
      <c r="P39" s="222"/>
      <c r="Q39" s="222"/>
      <c r="R39" s="223" t="n">
        <f aca="false">(O39+P39+Q39)/3</f>
        <v>0</v>
      </c>
      <c r="S39" s="224" t="n">
        <f aca="false">R39*0.125</f>
        <v>0</v>
      </c>
      <c r="T39" s="225" t="n">
        <f aca="false">(I39+N39+S39)</f>
        <v>0</v>
      </c>
      <c r="U39" s="226"/>
      <c r="V39" s="110" t="n">
        <f aca="false">IF(U39&lt;=0,T39,(T39+U39)/2)</f>
        <v>0</v>
      </c>
    </row>
    <row r="40" customFormat="false" ht="14.25" hidden="false" customHeight="true" outlineLevel="0" collapsed="false">
      <c r="A40" s="227" t="n">
        <v>32</v>
      </c>
      <c r="B40" s="228"/>
      <c r="C40" s="229"/>
      <c r="D40" s="221"/>
      <c r="E40" s="222"/>
      <c r="F40" s="222"/>
      <c r="G40" s="222"/>
      <c r="H40" s="223" t="n">
        <f aca="false">(E40+F40+G40)/3</f>
        <v>0</v>
      </c>
      <c r="I40" s="224" t="n">
        <f aca="false">H40*0.125</f>
        <v>0</v>
      </c>
      <c r="J40" s="222"/>
      <c r="K40" s="222"/>
      <c r="L40" s="222"/>
      <c r="M40" s="223" t="n">
        <f aca="false">(J40+K40+L40)/3</f>
        <v>0</v>
      </c>
      <c r="N40" s="224" t="n">
        <f aca="false">M40*0.25</f>
        <v>0</v>
      </c>
      <c r="O40" s="222"/>
      <c r="P40" s="222"/>
      <c r="Q40" s="222"/>
      <c r="R40" s="223" t="n">
        <f aca="false">(O40+P40+Q40)/3</f>
        <v>0</v>
      </c>
      <c r="S40" s="224" t="n">
        <f aca="false">R40*0.125</f>
        <v>0</v>
      </c>
      <c r="T40" s="225" t="n">
        <f aca="false">(I40+N40+S40)</f>
        <v>0</v>
      </c>
      <c r="U40" s="226"/>
      <c r="V40" s="110" t="n">
        <f aca="false">IF(U40&lt;=0,T40,(T40+U40)/2)</f>
        <v>0</v>
      </c>
    </row>
    <row r="41" customFormat="false" ht="14.25" hidden="false" customHeight="true" outlineLevel="0" collapsed="false">
      <c r="A41" s="218" t="n">
        <v>33</v>
      </c>
      <c r="B41" s="228"/>
      <c r="C41" s="229"/>
      <c r="D41" s="221"/>
      <c r="E41" s="222"/>
      <c r="F41" s="222"/>
      <c r="G41" s="222"/>
      <c r="H41" s="223" t="n">
        <f aca="false">(E41+F41+G41)/3</f>
        <v>0</v>
      </c>
      <c r="I41" s="224" t="n">
        <f aca="false">H41*0.125</f>
        <v>0</v>
      </c>
      <c r="J41" s="222"/>
      <c r="K41" s="222"/>
      <c r="L41" s="222"/>
      <c r="M41" s="223" t="n">
        <f aca="false">(J41+K41+L41)/3</f>
        <v>0</v>
      </c>
      <c r="N41" s="224" t="n">
        <f aca="false">M41*0.25</f>
        <v>0</v>
      </c>
      <c r="O41" s="222"/>
      <c r="P41" s="222"/>
      <c r="Q41" s="222"/>
      <c r="R41" s="223" t="n">
        <f aca="false">(O41+P41+Q41)/3</f>
        <v>0</v>
      </c>
      <c r="S41" s="224" t="n">
        <f aca="false">R41*0.125</f>
        <v>0</v>
      </c>
      <c r="T41" s="225" t="n">
        <f aca="false">(I41+N41+S41)</f>
        <v>0</v>
      </c>
      <c r="U41" s="226"/>
      <c r="V41" s="110" t="n">
        <f aca="false">IF(U41&lt;=0,T41,(T41+U41)/2)</f>
        <v>0</v>
      </c>
    </row>
    <row r="42" customFormat="false" ht="14.25" hidden="false" customHeight="true" outlineLevel="0" collapsed="false">
      <c r="A42" s="227" t="n">
        <v>34</v>
      </c>
      <c r="B42" s="228"/>
      <c r="C42" s="229"/>
      <c r="D42" s="221"/>
      <c r="E42" s="222"/>
      <c r="F42" s="222"/>
      <c r="G42" s="222"/>
      <c r="H42" s="223" t="n">
        <f aca="false">(E42+F42+G42)/3</f>
        <v>0</v>
      </c>
      <c r="I42" s="224" t="n">
        <f aca="false">H42*0.125</f>
        <v>0</v>
      </c>
      <c r="J42" s="222"/>
      <c r="K42" s="222"/>
      <c r="L42" s="222"/>
      <c r="M42" s="223" t="n">
        <f aca="false">(J42+K42+L42)/3</f>
        <v>0</v>
      </c>
      <c r="N42" s="224" t="n">
        <f aca="false">M42*0.25</f>
        <v>0</v>
      </c>
      <c r="O42" s="222"/>
      <c r="P42" s="222"/>
      <c r="Q42" s="222"/>
      <c r="R42" s="223" t="n">
        <f aca="false">(O42+P42+Q42)/3</f>
        <v>0</v>
      </c>
      <c r="S42" s="224" t="n">
        <f aca="false">R42*0.125</f>
        <v>0</v>
      </c>
      <c r="T42" s="225" t="n">
        <f aca="false">(I42+N42+S42)</f>
        <v>0</v>
      </c>
      <c r="U42" s="226"/>
      <c r="V42" s="110" t="n">
        <f aca="false">IF(U42&lt;=0,T42,(T42+U42)/2)</f>
        <v>0</v>
      </c>
    </row>
    <row r="43" customFormat="false" ht="14.25" hidden="false" customHeight="true" outlineLevel="0" collapsed="false">
      <c r="A43" s="218" t="n">
        <v>35</v>
      </c>
      <c r="B43" s="228"/>
      <c r="C43" s="229"/>
      <c r="D43" s="221"/>
      <c r="E43" s="222"/>
      <c r="F43" s="222"/>
      <c r="G43" s="222"/>
      <c r="H43" s="223" t="n">
        <f aca="false">(E43+F43+G43)/3</f>
        <v>0</v>
      </c>
      <c r="I43" s="224" t="n">
        <f aca="false">H43*0.125</f>
        <v>0</v>
      </c>
      <c r="J43" s="222"/>
      <c r="K43" s="222"/>
      <c r="L43" s="222"/>
      <c r="M43" s="223" t="n">
        <f aca="false">(J43+K43+L43)/3</f>
        <v>0</v>
      </c>
      <c r="N43" s="224" t="n">
        <f aca="false">M43*0.25</f>
        <v>0</v>
      </c>
      <c r="O43" s="222"/>
      <c r="P43" s="222"/>
      <c r="Q43" s="222"/>
      <c r="R43" s="223" t="n">
        <f aca="false">(O43+P43+Q43)/3</f>
        <v>0</v>
      </c>
      <c r="S43" s="224" t="n">
        <f aca="false">R43*0.125</f>
        <v>0</v>
      </c>
      <c r="T43" s="225" t="n">
        <f aca="false">(I43+N43+S43)</f>
        <v>0</v>
      </c>
      <c r="U43" s="226"/>
      <c r="V43" s="110" t="n">
        <f aca="false">IF(U43&lt;=0,T43,(T43+U43)/2)</f>
        <v>0</v>
      </c>
    </row>
    <row r="44" customFormat="false" ht="14.25" hidden="false" customHeight="true" outlineLevel="0" collapsed="false">
      <c r="A44" s="227" t="n">
        <v>36</v>
      </c>
      <c r="B44" s="228"/>
      <c r="C44" s="229"/>
      <c r="D44" s="221"/>
      <c r="E44" s="222"/>
      <c r="F44" s="222"/>
      <c r="G44" s="222"/>
      <c r="H44" s="223" t="n">
        <f aca="false">(E44+F44+G44)/3</f>
        <v>0</v>
      </c>
      <c r="I44" s="224" t="n">
        <f aca="false">H44*0.125</f>
        <v>0</v>
      </c>
      <c r="J44" s="222"/>
      <c r="K44" s="222"/>
      <c r="L44" s="222"/>
      <c r="M44" s="223" t="n">
        <f aca="false">(J44+K44+L44)/3</f>
        <v>0</v>
      </c>
      <c r="N44" s="224" t="n">
        <f aca="false">M44*0.25</f>
        <v>0</v>
      </c>
      <c r="O44" s="222"/>
      <c r="P44" s="222"/>
      <c r="Q44" s="222"/>
      <c r="R44" s="223" t="n">
        <f aca="false">(O44+P44+Q44)/3</f>
        <v>0</v>
      </c>
      <c r="S44" s="224" t="n">
        <f aca="false">R44*0.125</f>
        <v>0</v>
      </c>
      <c r="T44" s="225" t="n">
        <f aca="false">(I44+N44+S44)</f>
        <v>0</v>
      </c>
      <c r="U44" s="226"/>
      <c r="V44" s="110" t="n">
        <f aca="false">IF(U44&lt;=0,T44,(T44+U44)/2)</f>
        <v>0</v>
      </c>
    </row>
    <row r="45" customFormat="false" ht="14.25" hidden="false" customHeight="true" outlineLevel="0" collapsed="false">
      <c r="A45" s="218" t="n">
        <v>37</v>
      </c>
      <c r="B45" s="228"/>
      <c r="C45" s="229"/>
      <c r="D45" s="221"/>
      <c r="E45" s="222"/>
      <c r="F45" s="222"/>
      <c r="G45" s="222"/>
      <c r="H45" s="223" t="n">
        <f aca="false">(E45+F45+G45)/3</f>
        <v>0</v>
      </c>
      <c r="I45" s="224" t="n">
        <f aca="false">H45*0.125</f>
        <v>0</v>
      </c>
      <c r="J45" s="222"/>
      <c r="K45" s="222"/>
      <c r="L45" s="222"/>
      <c r="M45" s="223" t="n">
        <f aca="false">(J45+K45+L45)/3</f>
        <v>0</v>
      </c>
      <c r="N45" s="224" t="n">
        <f aca="false">M45*0.25</f>
        <v>0</v>
      </c>
      <c r="O45" s="222"/>
      <c r="P45" s="222"/>
      <c r="Q45" s="222"/>
      <c r="R45" s="223" t="n">
        <f aca="false">(O45+P45+Q45)/3</f>
        <v>0</v>
      </c>
      <c r="S45" s="224" t="n">
        <f aca="false">R45*0.125</f>
        <v>0</v>
      </c>
      <c r="T45" s="225" t="n">
        <f aca="false">(I45+N45+S45)</f>
        <v>0</v>
      </c>
      <c r="U45" s="226"/>
      <c r="V45" s="110" t="n">
        <f aca="false">IF(U45&lt;=0,T45,(T45+U45)/2)</f>
        <v>0</v>
      </c>
    </row>
    <row r="46" customFormat="false" ht="14.25" hidden="false" customHeight="true" outlineLevel="0" collapsed="false">
      <c r="A46" s="227" t="n">
        <v>38</v>
      </c>
      <c r="B46" s="228"/>
      <c r="C46" s="229"/>
      <c r="D46" s="221"/>
      <c r="E46" s="222"/>
      <c r="F46" s="222"/>
      <c r="G46" s="222"/>
      <c r="H46" s="223" t="n">
        <f aca="false">(E46+F46+G46)/3</f>
        <v>0</v>
      </c>
      <c r="I46" s="224" t="n">
        <f aca="false">H46*0.125</f>
        <v>0</v>
      </c>
      <c r="J46" s="222"/>
      <c r="K46" s="222"/>
      <c r="L46" s="222"/>
      <c r="M46" s="223" t="n">
        <f aca="false">(J46+K46+L46)/3</f>
        <v>0</v>
      </c>
      <c r="N46" s="224" t="n">
        <f aca="false">M46*0.25</f>
        <v>0</v>
      </c>
      <c r="O46" s="222"/>
      <c r="P46" s="222"/>
      <c r="Q46" s="222"/>
      <c r="R46" s="223" t="n">
        <f aca="false">(O46+P46+Q46)/3</f>
        <v>0</v>
      </c>
      <c r="S46" s="224" t="n">
        <f aca="false">R46*0.125</f>
        <v>0</v>
      </c>
      <c r="T46" s="225" t="n">
        <f aca="false">(I46+N46+S46)</f>
        <v>0</v>
      </c>
      <c r="U46" s="226"/>
      <c r="V46" s="110" t="n">
        <f aca="false">IF(U46&lt;=0,T46,(T46+U46)/2)</f>
        <v>0</v>
      </c>
    </row>
    <row r="47" customFormat="false" ht="14.25" hidden="false" customHeight="true" outlineLevel="0" collapsed="false">
      <c r="A47" s="218" t="n">
        <v>39</v>
      </c>
      <c r="B47" s="228"/>
      <c r="C47" s="229"/>
      <c r="D47" s="221"/>
      <c r="E47" s="222"/>
      <c r="F47" s="222"/>
      <c r="G47" s="222"/>
      <c r="H47" s="223" t="n">
        <f aca="false">(E47+F47+G47)/3</f>
        <v>0</v>
      </c>
      <c r="I47" s="224" t="n">
        <f aca="false">H47*0.125</f>
        <v>0</v>
      </c>
      <c r="J47" s="222"/>
      <c r="K47" s="222"/>
      <c r="L47" s="222"/>
      <c r="M47" s="223" t="n">
        <f aca="false">(J47+K47+L47)/3</f>
        <v>0</v>
      </c>
      <c r="N47" s="224" t="n">
        <f aca="false">M47*0.25</f>
        <v>0</v>
      </c>
      <c r="O47" s="222"/>
      <c r="P47" s="222"/>
      <c r="Q47" s="222"/>
      <c r="R47" s="223" t="n">
        <f aca="false">(O47+P47+Q47)/3</f>
        <v>0</v>
      </c>
      <c r="S47" s="224" t="n">
        <f aca="false">R47*0.125</f>
        <v>0</v>
      </c>
      <c r="T47" s="225" t="n">
        <f aca="false">(I47+N47+S47)</f>
        <v>0</v>
      </c>
      <c r="U47" s="226"/>
      <c r="V47" s="110" t="n">
        <f aca="false">IF(U47&lt;=0,T47,(T47+U47)/2)</f>
        <v>0</v>
      </c>
    </row>
    <row r="48" customFormat="false" ht="14.25" hidden="false" customHeight="true" outlineLevel="0" collapsed="false">
      <c r="A48" s="227" t="n">
        <v>40</v>
      </c>
      <c r="B48" s="228"/>
      <c r="C48" s="229"/>
      <c r="D48" s="221"/>
      <c r="E48" s="222"/>
      <c r="F48" s="222"/>
      <c r="G48" s="222"/>
      <c r="H48" s="223" t="n">
        <f aca="false">(E48+F48+G48)/3</f>
        <v>0</v>
      </c>
      <c r="I48" s="224" t="n">
        <f aca="false">H48*0.125</f>
        <v>0</v>
      </c>
      <c r="J48" s="222"/>
      <c r="K48" s="222"/>
      <c r="L48" s="222"/>
      <c r="M48" s="223" t="n">
        <f aca="false">(J48+K48+L48)/3</f>
        <v>0</v>
      </c>
      <c r="N48" s="224" t="n">
        <f aca="false">M48*0.25</f>
        <v>0</v>
      </c>
      <c r="O48" s="222"/>
      <c r="P48" s="222"/>
      <c r="Q48" s="222"/>
      <c r="R48" s="223" t="n">
        <f aca="false">(O48+P48+Q48)/3</f>
        <v>0</v>
      </c>
      <c r="S48" s="224" t="n">
        <f aca="false">R48*0.125</f>
        <v>0</v>
      </c>
      <c r="T48" s="225" t="n">
        <f aca="false">(I48+N48+S48)</f>
        <v>0</v>
      </c>
      <c r="U48" s="226"/>
      <c r="V48" s="110" t="n">
        <f aca="false">IF(U48&lt;=0,T48,(T48+U48)/2)</f>
        <v>0</v>
      </c>
    </row>
    <row r="49" customFormat="false" ht="14.25" hidden="false" customHeight="true" outlineLevel="0" collapsed="false">
      <c r="A49" s="218" t="n">
        <v>41</v>
      </c>
      <c r="B49" s="228"/>
      <c r="C49" s="230"/>
      <c r="D49" s="231"/>
      <c r="E49" s="222"/>
      <c r="F49" s="222"/>
      <c r="G49" s="222"/>
      <c r="H49" s="223" t="n">
        <f aca="false">(E49+F49+G49)/3</f>
        <v>0</v>
      </c>
      <c r="I49" s="224" t="n">
        <f aca="false">H49*0.125</f>
        <v>0</v>
      </c>
      <c r="J49" s="222"/>
      <c r="K49" s="222"/>
      <c r="L49" s="222"/>
      <c r="M49" s="223" t="n">
        <f aca="false">(J49+K49+L49)/3</f>
        <v>0</v>
      </c>
      <c r="N49" s="224" t="n">
        <f aca="false">M49*0.25</f>
        <v>0</v>
      </c>
      <c r="O49" s="222"/>
      <c r="P49" s="222"/>
      <c r="Q49" s="222"/>
      <c r="R49" s="223" t="n">
        <f aca="false">(O49+P49+Q49)/3</f>
        <v>0</v>
      </c>
      <c r="S49" s="224" t="n">
        <f aca="false">R49*0.125</f>
        <v>0</v>
      </c>
      <c r="T49" s="225" t="n">
        <f aca="false">(I49+N49+S49)</f>
        <v>0</v>
      </c>
      <c r="U49" s="226"/>
      <c r="V49" s="110" t="n">
        <f aca="false">IF(U49&lt;=0,T49,(T49+U49)/2)</f>
        <v>0</v>
      </c>
    </row>
    <row r="50" customFormat="false" ht="14.25" hidden="false" customHeight="true" outlineLevel="0" collapsed="false">
      <c r="A50" s="227" t="n">
        <v>42</v>
      </c>
      <c r="B50" s="232"/>
      <c r="C50" s="233"/>
      <c r="D50" s="231"/>
      <c r="E50" s="222"/>
      <c r="F50" s="222"/>
      <c r="G50" s="222"/>
      <c r="H50" s="223" t="n">
        <f aca="false">(E50+F50+G50)/3</f>
        <v>0</v>
      </c>
      <c r="I50" s="224" t="n">
        <f aca="false">H50*0.125</f>
        <v>0</v>
      </c>
      <c r="J50" s="222"/>
      <c r="K50" s="222"/>
      <c r="L50" s="222"/>
      <c r="M50" s="223" t="n">
        <f aca="false">(J50+K50+L50)/3</f>
        <v>0</v>
      </c>
      <c r="N50" s="224" t="n">
        <f aca="false">M50*0.25</f>
        <v>0</v>
      </c>
      <c r="O50" s="222"/>
      <c r="P50" s="222"/>
      <c r="Q50" s="222"/>
      <c r="R50" s="223" t="n">
        <f aca="false">(O50+P50+Q50)/3</f>
        <v>0</v>
      </c>
      <c r="S50" s="224" t="n">
        <f aca="false">R50*0.125</f>
        <v>0</v>
      </c>
      <c r="T50" s="225" t="n">
        <f aca="false">(I50+N50+S50)</f>
        <v>0</v>
      </c>
      <c r="U50" s="226"/>
      <c r="V50" s="110" t="n">
        <f aca="false">IF(U50&lt;=0,T50,(T50+U50)/2)</f>
        <v>0</v>
      </c>
    </row>
    <row r="51" customFormat="false" ht="14.25" hidden="false" customHeight="true" outlineLevel="0" collapsed="false">
      <c r="A51" s="218" t="n">
        <v>43</v>
      </c>
      <c r="B51" s="232"/>
      <c r="C51" s="233"/>
      <c r="D51" s="231"/>
      <c r="E51" s="222"/>
      <c r="F51" s="222"/>
      <c r="G51" s="222"/>
      <c r="H51" s="223" t="n">
        <f aca="false">(E51+F51+G51)/3</f>
        <v>0</v>
      </c>
      <c r="I51" s="224" t="n">
        <f aca="false">H51*0.125</f>
        <v>0</v>
      </c>
      <c r="J51" s="222"/>
      <c r="K51" s="222"/>
      <c r="L51" s="222"/>
      <c r="M51" s="223" t="n">
        <f aca="false">(J51+K51+L51)/3</f>
        <v>0</v>
      </c>
      <c r="N51" s="224" t="n">
        <f aca="false">M51*0.25</f>
        <v>0</v>
      </c>
      <c r="O51" s="222"/>
      <c r="P51" s="222"/>
      <c r="Q51" s="222"/>
      <c r="R51" s="223" t="n">
        <f aca="false">(O51+P51+Q51)/3</f>
        <v>0</v>
      </c>
      <c r="S51" s="224" t="n">
        <f aca="false">R51*0.125</f>
        <v>0</v>
      </c>
      <c r="T51" s="225" t="n">
        <f aca="false">(I51+N51+S51)</f>
        <v>0</v>
      </c>
      <c r="U51" s="226"/>
      <c r="V51" s="110" t="n">
        <f aca="false">IF(U51&lt;=0,T51,(T51+U51)/2)</f>
        <v>0</v>
      </c>
    </row>
    <row r="52" customFormat="false" ht="14.25" hidden="false" customHeight="true" outlineLevel="0" collapsed="false">
      <c r="A52" s="227" t="n">
        <v>44</v>
      </c>
      <c r="B52" s="232"/>
      <c r="C52" s="233"/>
      <c r="D52" s="231"/>
      <c r="E52" s="222"/>
      <c r="F52" s="222"/>
      <c r="G52" s="222"/>
      <c r="H52" s="223" t="n">
        <f aca="false">(E52+F52+G52)/3</f>
        <v>0</v>
      </c>
      <c r="I52" s="224" t="n">
        <f aca="false">H52*0.125</f>
        <v>0</v>
      </c>
      <c r="J52" s="222"/>
      <c r="K52" s="222"/>
      <c r="L52" s="222"/>
      <c r="M52" s="223" t="n">
        <f aca="false">(J52+K52+L52)/3</f>
        <v>0</v>
      </c>
      <c r="N52" s="224" t="n">
        <f aca="false">M52*0.25</f>
        <v>0</v>
      </c>
      <c r="O52" s="222"/>
      <c r="P52" s="222"/>
      <c r="Q52" s="222"/>
      <c r="R52" s="223" t="n">
        <f aca="false">(O52+P52+Q52)/3</f>
        <v>0</v>
      </c>
      <c r="S52" s="224" t="n">
        <f aca="false">R52*0.125</f>
        <v>0</v>
      </c>
      <c r="T52" s="225" t="n">
        <f aca="false">(I52+N52+S52)</f>
        <v>0</v>
      </c>
      <c r="U52" s="226"/>
      <c r="V52" s="110" t="n">
        <f aca="false">IF(U52&lt;=0,T52,(T52+U52)/2)</f>
        <v>0</v>
      </c>
    </row>
    <row r="53" customFormat="false" ht="14.25" hidden="false" customHeight="true" outlineLevel="0" collapsed="false">
      <c r="A53" s="218" t="n">
        <v>45</v>
      </c>
      <c r="B53" s="232"/>
      <c r="C53" s="233"/>
      <c r="D53" s="231"/>
      <c r="E53" s="222"/>
      <c r="F53" s="222"/>
      <c r="G53" s="222"/>
      <c r="H53" s="223" t="n">
        <f aca="false">(E53+F53+G53)/3</f>
        <v>0</v>
      </c>
      <c r="I53" s="224" t="n">
        <f aca="false">H53*0.125</f>
        <v>0</v>
      </c>
      <c r="J53" s="222"/>
      <c r="K53" s="222"/>
      <c r="L53" s="222"/>
      <c r="M53" s="223" t="n">
        <f aca="false">(J53+K53+L53)/3</f>
        <v>0</v>
      </c>
      <c r="N53" s="224" t="n">
        <f aca="false">M53*0.25</f>
        <v>0</v>
      </c>
      <c r="O53" s="222"/>
      <c r="P53" s="222"/>
      <c r="Q53" s="222"/>
      <c r="R53" s="223" t="n">
        <f aca="false">(O53+P53+Q53)/3</f>
        <v>0</v>
      </c>
      <c r="S53" s="224" t="n">
        <f aca="false">R53*0.125</f>
        <v>0</v>
      </c>
      <c r="T53" s="225" t="n">
        <f aca="false">(I53+N53+S53)</f>
        <v>0</v>
      </c>
      <c r="U53" s="226"/>
      <c r="V53" s="110" t="n">
        <f aca="false">IF(U53&lt;=0,T53,(T53+U53)/2)</f>
        <v>0</v>
      </c>
    </row>
    <row r="54" customFormat="false" ht="14.25" hidden="false" customHeight="true" outlineLevel="0" collapsed="false">
      <c r="A54" s="227" t="n">
        <v>46</v>
      </c>
      <c r="B54" s="232"/>
      <c r="C54" s="233"/>
      <c r="D54" s="231"/>
      <c r="E54" s="222"/>
      <c r="F54" s="222"/>
      <c r="G54" s="222"/>
      <c r="H54" s="223" t="n">
        <f aca="false">(E54+F54+G54)/3</f>
        <v>0</v>
      </c>
      <c r="I54" s="224" t="n">
        <f aca="false">H54*0.125</f>
        <v>0</v>
      </c>
      <c r="J54" s="222"/>
      <c r="K54" s="222"/>
      <c r="L54" s="222"/>
      <c r="M54" s="223" t="n">
        <f aca="false">(J54+K54+L54)/3</f>
        <v>0</v>
      </c>
      <c r="N54" s="224" t="n">
        <f aca="false">M54*0.25</f>
        <v>0</v>
      </c>
      <c r="O54" s="222"/>
      <c r="P54" s="222"/>
      <c r="Q54" s="222"/>
      <c r="R54" s="223" t="n">
        <f aca="false">(O54+P54+Q54)/3</f>
        <v>0</v>
      </c>
      <c r="S54" s="224" t="n">
        <f aca="false">R54*0.125</f>
        <v>0</v>
      </c>
      <c r="T54" s="225" t="n">
        <f aca="false">(I54+N54+S54)</f>
        <v>0</v>
      </c>
      <c r="U54" s="226"/>
      <c r="V54" s="110" t="n">
        <f aca="false">IF(U54&lt;=0,T54,(T54+U54)/2)</f>
        <v>0</v>
      </c>
    </row>
    <row r="55" customFormat="false" ht="14.25" hidden="false" customHeight="true" outlineLevel="0" collapsed="false">
      <c r="A55" s="218" t="n">
        <v>47</v>
      </c>
      <c r="B55" s="232"/>
      <c r="C55" s="233"/>
      <c r="D55" s="231"/>
      <c r="E55" s="222"/>
      <c r="F55" s="222"/>
      <c r="G55" s="222"/>
      <c r="H55" s="223" t="n">
        <f aca="false">(E55+F55+G55)/3</f>
        <v>0</v>
      </c>
      <c r="I55" s="224" t="n">
        <f aca="false">H55*0.125</f>
        <v>0</v>
      </c>
      <c r="J55" s="222"/>
      <c r="K55" s="222"/>
      <c r="L55" s="222"/>
      <c r="M55" s="223" t="n">
        <f aca="false">(J55+K55+L55)/3</f>
        <v>0</v>
      </c>
      <c r="N55" s="224" t="n">
        <f aca="false">M55*0.25</f>
        <v>0</v>
      </c>
      <c r="O55" s="222"/>
      <c r="P55" s="222"/>
      <c r="Q55" s="222"/>
      <c r="R55" s="223" t="n">
        <f aca="false">(O55+P55+Q55)/3</f>
        <v>0</v>
      </c>
      <c r="S55" s="224" t="n">
        <f aca="false">R55*0.125</f>
        <v>0</v>
      </c>
      <c r="T55" s="225" t="n">
        <f aca="false">(I55+N55+S55)</f>
        <v>0</v>
      </c>
      <c r="U55" s="226"/>
      <c r="V55" s="110" t="n">
        <f aca="false">IF(U55&lt;=0,T55,(T55+U55)/2)</f>
        <v>0</v>
      </c>
    </row>
    <row r="56" customFormat="false" ht="14.25" hidden="false" customHeight="true" outlineLevel="0" collapsed="false">
      <c r="A56" s="227" t="n">
        <v>48</v>
      </c>
      <c r="B56" s="232"/>
      <c r="C56" s="233"/>
      <c r="D56" s="231"/>
      <c r="E56" s="222"/>
      <c r="F56" s="222"/>
      <c r="G56" s="222"/>
      <c r="H56" s="223" t="n">
        <f aca="false">(E56+F56+G56)/3</f>
        <v>0</v>
      </c>
      <c r="I56" s="224" t="n">
        <f aca="false">H56*0.125</f>
        <v>0</v>
      </c>
      <c r="J56" s="222"/>
      <c r="K56" s="222"/>
      <c r="L56" s="222"/>
      <c r="M56" s="223" t="n">
        <f aca="false">(J56+K56+L56)/3</f>
        <v>0</v>
      </c>
      <c r="N56" s="224" t="n">
        <f aca="false">M56*0.25</f>
        <v>0</v>
      </c>
      <c r="O56" s="222"/>
      <c r="P56" s="222"/>
      <c r="Q56" s="222"/>
      <c r="R56" s="223" t="n">
        <f aca="false">(O56+P56+Q56)/3</f>
        <v>0</v>
      </c>
      <c r="S56" s="224" t="n">
        <f aca="false">R56*0.125</f>
        <v>0</v>
      </c>
      <c r="T56" s="225" t="n">
        <f aca="false">(I56+N56+S56)</f>
        <v>0</v>
      </c>
      <c r="U56" s="226"/>
      <c r="V56" s="110" t="n">
        <f aca="false">IF(U56&lt;=0,T56,(T56+U56)/2)</f>
        <v>0</v>
      </c>
    </row>
    <row r="57" customFormat="false" ht="13.5" hidden="false" customHeight="true" outlineLevel="0" collapsed="false">
      <c r="A57" s="218" t="n">
        <v>49</v>
      </c>
      <c r="B57" s="232"/>
      <c r="C57" s="233"/>
      <c r="D57" s="231"/>
      <c r="E57" s="222"/>
      <c r="F57" s="222"/>
      <c r="G57" s="222"/>
      <c r="H57" s="223" t="n">
        <f aca="false">(E57+F57+G57)/3</f>
        <v>0</v>
      </c>
      <c r="I57" s="224" t="n">
        <f aca="false">H57*0.125</f>
        <v>0</v>
      </c>
      <c r="J57" s="222"/>
      <c r="K57" s="222"/>
      <c r="L57" s="222"/>
      <c r="M57" s="223" t="n">
        <f aca="false">(J57+K57+L57)/3</f>
        <v>0</v>
      </c>
      <c r="N57" s="224" t="n">
        <f aca="false">M57*0.25</f>
        <v>0</v>
      </c>
      <c r="O57" s="222"/>
      <c r="P57" s="222"/>
      <c r="Q57" s="222"/>
      <c r="R57" s="223" t="n">
        <f aca="false">(O57+P57+Q57)/3</f>
        <v>0</v>
      </c>
      <c r="S57" s="224" t="n">
        <f aca="false">R57*0.125</f>
        <v>0</v>
      </c>
      <c r="T57" s="225" t="n">
        <f aca="false">(I57+N57+S57)</f>
        <v>0</v>
      </c>
      <c r="U57" s="226"/>
      <c r="V57" s="110" t="n">
        <f aca="false">IF(U57&lt;=0,T57,(T57+U57)/2)</f>
        <v>0</v>
      </c>
    </row>
  </sheetData>
  <mergeCells count="18">
    <mergeCell ref="A1:U1"/>
    <mergeCell ref="A2:U2"/>
    <mergeCell ref="N3:O3"/>
    <mergeCell ref="A4:C4"/>
    <mergeCell ref="D4:J4"/>
    <mergeCell ref="A5:C5"/>
    <mergeCell ref="D5:U5"/>
    <mergeCell ref="A6:C6"/>
    <mergeCell ref="D6:M6"/>
    <mergeCell ref="A7:A8"/>
    <mergeCell ref="B7:B8"/>
    <mergeCell ref="C7:C8"/>
    <mergeCell ref="D7:D8"/>
    <mergeCell ref="E7:I7"/>
    <mergeCell ref="J7:N7"/>
    <mergeCell ref="O7:S7"/>
    <mergeCell ref="T7:U7"/>
    <mergeCell ref="V7:V8"/>
  </mergeCells>
  <conditionalFormatting sqref="H9:I57 R9:T57 M9:N57">
    <cfRule type="cellIs" priority="2" operator="equal" aboveAverage="0" equalAverage="0" bottom="0" percent="0" rank="0" text="" dxfId="11">
      <formula>0</formula>
    </cfRule>
  </conditionalFormatting>
  <conditionalFormatting sqref="V9:V57">
    <cfRule type="cellIs" priority="3" operator="equal" aboveAverage="0" equalAverage="0" bottom="0" percent="0" rank="0" text="" dxfId="12">
      <formula>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LibreOffice/26.8.0.3$Linux_X86_64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2008-11-30T14:32:03Z</dcterms:created>
  <dc:creator>Sigarán</dc:creator>
  <dc:description/>
  <dc:language>en-US</dc:language>
  <cp:lastModifiedBy/>
  <cp:lastPrinted>2013-06-20T14:08:19Z</cp:lastPrinted>
  <dcterms:modified xsi:type="dcterms:W3CDTF">2026-09-11T17:30:34Z</dcterms:modified>
  <cp:revision>2</cp:revision>
  <dc:subject/>
  <dc:title/>
</cp:coreProperties>
</file>